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13" documentId="8_{578AB4DF-D04E-47F5-B6CA-4A2A78BEA537}" xr6:coauthVersionLast="47" xr6:coauthVersionMax="47" xr10:uidLastSave="{1B269E5B-D29F-40F3-9D25-6300AB15565E}"/>
  <bookViews>
    <workbookView xWindow="-110" yWindow="-110" windowWidth="25820" windowHeight="15500" activeTab="6" xr2:uid="{00000000-000D-0000-FFFF-FFFF00000000}"/>
  </bookViews>
  <sheets>
    <sheet name="customer" sheetId="1" r:id="rId1"/>
    <sheet name="category" sheetId="2" r:id="rId2"/>
    <sheet name="inventory" sheetId="3" r:id="rId3"/>
    <sheet name="order_source" sheetId="9" r:id="rId4"/>
    <sheet name="orders" sheetId="8" r:id="rId5"/>
    <sheet name="order_line" sheetId="5" r:id="rId6"/>
    <sheet name="shipment" sheetId="6" r:id="rId7"/>
    <sheet name="shipment_lin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" i="7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" i="5"/>
  <c r="D3" i="9"/>
  <c r="D4" i="9"/>
  <c r="D5" i="9"/>
  <c r="D6" i="9"/>
  <c r="D7" i="9"/>
  <c r="D8" i="9"/>
  <c r="D9" i="9"/>
  <c r="D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" i="8"/>
  <c r="D16" i="6"/>
  <c r="C2" i="9"/>
  <c r="C3" i="9"/>
  <c r="C4" i="9"/>
  <c r="C5" i="9"/>
  <c r="C6" i="9"/>
  <c r="C7" i="9"/>
  <c r="C8" i="9"/>
  <c r="C9" i="9"/>
  <c r="C10" i="2"/>
  <c r="D10" i="2"/>
  <c r="C2" i="2"/>
  <c r="D2" i="2" s="1"/>
  <c r="N3" i="1"/>
  <c r="N4" i="1"/>
  <c r="N5" i="1"/>
  <c r="N6" i="1"/>
  <c r="N7" i="1"/>
  <c r="N8" i="1"/>
  <c r="N9" i="1"/>
  <c r="N10" i="1"/>
  <c r="N11" i="1"/>
  <c r="B14" i="1"/>
  <c r="D2" i="6"/>
  <c r="D3" i="2"/>
  <c r="D4" i="2"/>
  <c r="D5" i="2"/>
  <c r="D6" i="2"/>
  <c r="D7" i="2"/>
  <c r="D8" i="2"/>
  <c r="D9" i="2"/>
  <c r="D11" i="2"/>
  <c r="C3" i="2"/>
  <c r="C4" i="2"/>
  <c r="C5" i="2"/>
  <c r="C6" i="2"/>
  <c r="C7" i="2"/>
  <c r="C8" i="2"/>
  <c r="C9" i="2"/>
  <c r="C11" i="2"/>
  <c r="F16" i="6" l="1"/>
  <c r="D15" i="6"/>
  <c r="F15" i="6" s="1"/>
  <c r="D14" i="6"/>
  <c r="F14" i="6" s="1"/>
  <c r="D13" i="6"/>
  <c r="F13" i="6" s="1"/>
  <c r="D12" i="6"/>
  <c r="F12" i="6" s="1"/>
  <c r="D11" i="6"/>
  <c r="F11" i="6" s="1"/>
  <c r="D10" i="6"/>
  <c r="F10" i="6" s="1"/>
  <c r="D9" i="6"/>
  <c r="F9" i="6" s="1"/>
  <c r="D8" i="6"/>
  <c r="F8" i="6" s="1"/>
  <c r="D7" i="6"/>
  <c r="F7" i="6" s="1"/>
  <c r="D6" i="6"/>
  <c r="F6" i="6" s="1"/>
  <c r="D5" i="6"/>
  <c r="F5" i="6" s="1"/>
  <c r="D4" i="6"/>
  <c r="F4" i="6" s="1"/>
  <c r="D3" i="6"/>
  <c r="F3" i="6" s="1"/>
  <c r="F2" i="6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" i="3"/>
  <c r="I2" i="3" s="1"/>
  <c r="N2" i="1"/>
</calcChain>
</file>

<file path=xl/sharedStrings.xml><?xml version="1.0" encoding="utf-8"?>
<sst xmlns="http://schemas.openxmlformats.org/spreadsheetml/2006/main" count="257" uniqueCount="213">
  <si>
    <t>E</t>
  </si>
  <si>
    <t>H</t>
  </si>
  <si>
    <t>NULL</t>
  </si>
  <si>
    <t>M</t>
  </si>
  <si>
    <t>Women's Clothing</t>
  </si>
  <si>
    <t>Children's Clothing</t>
  </si>
  <si>
    <t>Men's Clothing</t>
  </si>
  <si>
    <t>Pro Tip:  nice formula in these cells</t>
  </si>
  <si>
    <t>color</t>
  </si>
  <si>
    <t>S</t>
  </si>
  <si>
    <t>L</t>
  </si>
  <si>
    <t>Navy</t>
  </si>
  <si>
    <t>Turquoise</t>
  </si>
  <si>
    <t>XL</t>
  </si>
  <si>
    <t>White</t>
  </si>
  <si>
    <t>Look at the transfrom I did here.  NULL cannot be entered with single quotes around it.</t>
  </si>
  <si>
    <t>These copy/paste to SQL</t>
  </si>
  <si>
    <t>Here's another formula that I did for you.  Complex, but I did it in pieces then glued it together</t>
  </si>
  <si>
    <t>YEAR(D2)&amp;"/"&amp;MONTH(D2)&amp;"/"&amp;DAY(D2)</t>
  </si>
  <si>
    <t>This fixes my year</t>
  </si>
  <si>
    <t>I use this generic IF statement to start with</t>
  </si>
  <si>
    <t>IF(D2="NULL",1,2)</t>
  </si>
  <si>
    <t>then I replace the values for "1" and "2"</t>
  </si>
  <si>
    <t>with formulas</t>
  </si>
  <si>
    <t>Note the single apostrophe in "Children's"</t>
  </si>
  <si>
    <t>click on a cell (try N1) to see the formula</t>
  </si>
  <si>
    <t>CID</t>
  </si>
  <si>
    <t>CLast</t>
  </si>
  <si>
    <t>CFirst</t>
  </si>
  <si>
    <t>cmi</t>
  </si>
  <si>
    <t>cbirthdate</t>
  </si>
  <si>
    <t>caddress</t>
  </si>
  <si>
    <t>ccity</t>
  </si>
  <si>
    <t>cstate</t>
  </si>
  <si>
    <t>czip</t>
  </si>
  <si>
    <t>CPhone1</t>
  </si>
  <si>
    <t>CPhone2</t>
  </si>
  <si>
    <t>cuserid</t>
  </si>
  <si>
    <t>cpassword</t>
  </si>
  <si>
    <t>Herrera</t>
  </si>
  <si>
    <t>Glenda</t>
  </si>
  <si>
    <t>676 Rocky New Boulevard</t>
  </si>
  <si>
    <t>Mobile</t>
  </si>
  <si>
    <t>KS</t>
  </si>
  <si>
    <t>534-634-2654</t>
  </si>
  <si>
    <t>gherree</t>
  </si>
  <si>
    <t>GgFGmtupt</t>
  </si>
  <si>
    <t>Allen</t>
  </si>
  <si>
    <t>Garry</t>
  </si>
  <si>
    <t>A</t>
  </si>
  <si>
    <t>443 New Way</t>
  </si>
  <si>
    <t>Toledo</t>
  </si>
  <si>
    <t>SC</t>
  </si>
  <si>
    <t>612-436-3061</t>
  </si>
  <si>
    <t>806-579-6431</t>
  </si>
  <si>
    <t>gallena</t>
  </si>
  <si>
    <t>jmCvXnCRx</t>
  </si>
  <si>
    <t>Murillo</t>
  </si>
  <si>
    <t>Josh</t>
  </si>
  <si>
    <t>Z</t>
  </si>
  <si>
    <t>773 Rocky Fabien Road</t>
  </si>
  <si>
    <t>Omaha</t>
  </si>
  <si>
    <t>GA</t>
  </si>
  <si>
    <t>689-306-0292</t>
  </si>
  <si>
    <t>376-477-4377</t>
  </si>
  <si>
    <t>jmurilz</t>
  </si>
  <si>
    <t>E8gaT34X7</t>
  </si>
  <si>
    <t>Waller</t>
  </si>
  <si>
    <t>Janice</t>
  </si>
  <si>
    <t>X</t>
  </si>
  <si>
    <t>47 Yellow Clarendon St.</t>
  </si>
  <si>
    <t>Fremont</t>
  </si>
  <si>
    <t>733-575-4686</t>
  </si>
  <si>
    <t>307-546-1064</t>
  </si>
  <si>
    <t>jwallex</t>
  </si>
  <si>
    <t>4fdw2QG7d</t>
  </si>
  <si>
    <t>Contreras</t>
  </si>
  <si>
    <t>Aisha</t>
  </si>
  <si>
    <t>987 Fabien Way</t>
  </si>
  <si>
    <t>Tampa</t>
  </si>
  <si>
    <t>AL</t>
  </si>
  <si>
    <t>389-375-6502</t>
  </si>
  <si>
    <t>458-068-5790</t>
  </si>
  <si>
    <t>acontrh</t>
  </si>
  <si>
    <t>2jO0uBjOU</t>
  </si>
  <si>
    <t>Rick</t>
  </si>
  <si>
    <t>87 Green Narwhal Avenue</t>
  </si>
  <si>
    <t>Colorado</t>
  </si>
  <si>
    <t>MA</t>
  </si>
  <si>
    <t>484-925-6318</t>
  </si>
  <si>
    <t>502-683-4832</t>
  </si>
  <si>
    <t>rherree</t>
  </si>
  <si>
    <t>AjAfg7zem</t>
  </si>
  <si>
    <t>Riddle</t>
  </si>
  <si>
    <t>Levi</t>
  </si>
  <si>
    <t>159 Nobel Drive</t>
  </si>
  <si>
    <t>El Paso</t>
  </si>
  <si>
    <t>ND</t>
  </si>
  <si>
    <t>851-104-7738</t>
  </si>
  <si>
    <t>845-709-2288</t>
  </si>
  <si>
    <t>lriddlz</t>
  </si>
  <si>
    <t>pMiCs49Fs</t>
  </si>
  <si>
    <t>Rojas</t>
  </si>
  <si>
    <t>Lakesha</t>
  </si>
  <si>
    <t>K</t>
  </si>
  <si>
    <t>33 Yellow Fabien Parkway</t>
  </si>
  <si>
    <t>Garland</t>
  </si>
  <si>
    <t>174-722-3739</t>
  </si>
  <si>
    <t>180-373-9647</t>
  </si>
  <si>
    <t>lrojask</t>
  </si>
  <si>
    <t>X4ozUVkfg</t>
  </si>
  <si>
    <t>French</t>
  </si>
  <si>
    <t>Bryan</t>
  </si>
  <si>
    <t>86 South Yellow New Street</t>
  </si>
  <si>
    <t>Phoenix</t>
  </si>
  <si>
    <t>HI</t>
  </si>
  <si>
    <t>501-574-8954</t>
  </si>
  <si>
    <t>700-754-8413</t>
  </si>
  <si>
    <t>bfrencm</t>
  </si>
  <si>
    <t>Jg3NWKVxG</t>
  </si>
  <si>
    <t>Bean</t>
  </si>
  <si>
    <t>Anthony</t>
  </si>
  <si>
    <t>V</t>
  </si>
  <si>
    <t>Riverside</t>
  </si>
  <si>
    <t>AZ</t>
  </si>
  <si>
    <t>974-007-0885</t>
  </si>
  <si>
    <t>904-835-7577</t>
  </si>
  <si>
    <t>abeanv</t>
  </si>
  <si>
    <t>QbKt8f1B7</t>
  </si>
  <si>
    <t>584-814-2972</t>
  </si>
  <si>
    <t>note:  dates were tricky because I've purposefully left them unformatted to show how to pull them apart</t>
  </si>
  <si>
    <t>catid</t>
  </si>
  <si>
    <t>catdesc</t>
  </si>
  <si>
    <t>Camping</t>
  </si>
  <si>
    <t>Imports</t>
  </si>
  <si>
    <t>Hiking</t>
  </si>
  <si>
    <t>New</t>
  </si>
  <si>
    <t>Hipster</t>
  </si>
  <si>
    <t>Misc. Sporting</t>
  </si>
  <si>
    <t>Sale</t>
  </si>
  <si>
    <t>invid</t>
  </si>
  <si>
    <t>invsize</t>
  </si>
  <si>
    <t>invprice</t>
  </si>
  <si>
    <t>invqoh</t>
  </si>
  <si>
    <t>itemdesc</t>
  </si>
  <si>
    <t>egreddior trepicandor novum</t>
  </si>
  <si>
    <t>DarkViolet</t>
  </si>
  <si>
    <t>XS</t>
  </si>
  <si>
    <t>plorum Tam quo Versus Multum</t>
  </si>
  <si>
    <t>DarkSlateGray</t>
  </si>
  <si>
    <t>non Quad gravis plurissimum</t>
  </si>
  <si>
    <t>XXL</t>
  </si>
  <si>
    <t>nomen quartu e transit. vobis</t>
  </si>
  <si>
    <t>PaleTurquoise</t>
  </si>
  <si>
    <t>transit. non novum gravis ut</t>
  </si>
  <si>
    <t>ForestGreen</t>
  </si>
  <si>
    <t>brevens, quartu nomen Quad Sed</t>
  </si>
  <si>
    <t>DeepSkyBlue</t>
  </si>
  <si>
    <t>si Tam quad travissimantor quo</t>
  </si>
  <si>
    <t>LightCoral</t>
  </si>
  <si>
    <t>in glavans quo non quis</t>
  </si>
  <si>
    <t>Cornsilk</t>
  </si>
  <si>
    <t>venit. habitatio cognitio, non</t>
  </si>
  <si>
    <t>SlateGrey</t>
  </si>
  <si>
    <t>Id si et plorum funem.</t>
  </si>
  <si>
    <t>MintCream</t>
  </si>
  <si>
    <t>estum. linguens fecit, Versus</t>
  </si>
  <si>
    <t>non volcans et Multum quartu</t>
  </si>
  <si>
    <t>DimGray</t>
  </si>
  <si>
    <t>bono venit. Longam, delerium.</t>
  </si>
  <si>
    <t>Fuchsia</t>
  </si>
  <si>
    <t>volcans Longam, in linguens</t>
  </si>
  <si>
    <t>DarkMagenta</t>
  </si>
  <si>
    <t>quis et trepicandor quantare</t>
  </si>
  <si>
    <t>Tan</t>
  </si>
  <si>
    <t>transit. travissimantor si</t>
  </si>
  <si>
    <t>DarkBlue</t>
  </si>
  <si>
    <t>esset glavans in in pladior</t>
  </si>
  <si>
    <t>XXXL</t>
  </si>
  <si>
    <t>quo parte rarendum et</t>
  </si>
  <si>
    <t>Aquamarine</t>
  </si>
  <si>
    <t>XXXXL</t>
  </si>
  <si>
    <t>pladior plurissimum Id</t>
  </si>
  <si>
    <t>LightSalmon</t>
  </si>
  <si>
    <t>osid</t>
  </si>
  <si>
    <t>osdesc</t>
  </si>
  <si>
    <t>Online</t>
  </si>
  <si>
    <t>Retail</t>
  </si>
  <si>
    <t>Winter Catalog Mail Order</t>
  </si>
  <si>
    <t>Summer Catalog Mail Order</t>
  </si>
  <si>
    <t>Spring Catalog Mail Order</t>
  </si>
  <si>
    <t>Phone</t>
  </si>
  <si>
    <t>Fall Catalog Mail Order</t>
  </si>
  <si>
    <t>Children's Catalog Mail Order</t>
  </si>
  <si>
    <t>oid</t>
  </si>
  <si>
    <t>odate</t>
  </si>
  <si>
    <t>omethpmt</t>
  </si>
  <si>
    <t>VISA</t>
  </si>
  <si>
    <t>Paypal</t>
  </si>
  <si>
    <t>Checking</t>
  </si>
  <si>
    <t>AmEx</t>
  </si>
  <si>
    <t>Mastercard</t>
  </si>
  <si>
    <t>olquantity</t>
  </si>
  <si>
    <t>shipid</t>
  </si>
  <si>
    <t>ShipDate</t>
  </si>
  <si>
    <t>ArrivalDate</t>
  </si>
  <si>
    <t>slquantityOrdered</t>
  </si>
  <si>
    <t>slquantityreceived</t>
  </si>
  <si>
    <t>copy these insert statements and paste into the SQL window</t>
  </si>
  <si>
    <t>905 Liberty Circle</t>
  </si>
  <si>
    <t>SUBSTITUTE is case sensitive!</t>
  </si>
  <si>
    <t>check for:  dates, 'NULL', single apostrophes</t>
  </si>
  <si>
    <t>You need to use the Excel functions for 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</si>
</sst>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8"/>
      <color rgb="FF000000"/>
      <name val="Georg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 readingOrder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left" wrapText="1" readingOrder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2" borderId="0" xfId="0" applyFont="1" applyFill="1"/>
    <xf numFmtId="0" fontId="0" fillId="6" borderId="0" xfId="0" applyFill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opLeftCell="F1" zoomScaleNormal="100" workbookViewId="0">
      <selection activeCell="N2" sqref="N2"/>
    </sheetView>
  </sheetViews>
  <sheetFormatPr defaultColWidth="19.1796875" defaultRowHeight="14.5" x14ac:dyDescent="0.35"/>
  <cols>
    <col min="5" max="5" width="19.1796875" style="11"/>
    <col min="6" max="6" width="26" bestFit="1" customWidth="1"/>
    <col min="12" max="12" width="20.81640625" bestFit="1" customWidth="1"/>
  </cols>
  <sheetData>
    <row r="1" spans="1:17" s="15" customFormat="1" x14ac:dyDescent="0.35">
      <c r="A1" s="13" t="s">
        <v>26</v>
      </c>
      <c r="B1" s="13" t="s">
        <v>27</v>
      </c>
      <c r="C1" s="13" t="s">
        <v>28</v>
      </c>
      <c r="D1" s="13" t="s">
        <v>29</v>
      </c>
      <c r="E1" s="14" t="s">
        <v>30</v>
      </c>
      <c r="F1" s="13" t="s">
        <v>31</v>
      </c>
      <c r="G1" s="14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/>
      <c r="O1" s="13"/>
    </row>
    <row r="2" spans="1:17" x14ac:dyDescent="0.35">
      <c r="A2" s="3">
        <v>1</v>
      </c>
      <c r="B2" s="3" t="s">
        <v>39</v>
      </c>
      <c r="C2" s="3" t="s">
        <v>40</v>
      </c>
      <c r="D2" s="3" t="s">
        <v>0</v>
      </c>
      <c r="E2" s="3">
        <v>29986</v>
      </c>
      <c r="F2" s="3" t="s">
        <v>41</v>
      </c>
      <c r="G2" s="12" t="s">
        <v>42</v>
      </c>
      <c r="H2" s="3" t="s">
        <v>43</v>
      </c>
      <c r="I2" s="3">
        <v>8342</v>
      </c>
      <c r="J2" s="3" t="s">
        <v>44</v>
      </c>
      <c r="K2" s="3" t="s">
        <v>54</v>
      </c>
      <c r="L2" s="3" t="s">
        <v>45</v>
      </c>
      <c r="M2" s="3" t="s">
        <v>46</v>
      </c>
      <c r="N2" s="4" t="str">
        <f>"insert into customer values ("&amp;A2&amp;", '"&amp;B2&amp;"', '"&amp;C2&amp;"', '"&amp;D2&amp;"', '"&amp;YEAR(E2)&amp;"/"&amp;MONTH(E2)&amp;"/"&amp;DAY(E2)&amp;"', '"&amp;F2&amp;"', '"&amp;G2&amp;"', '"&amp;H2&amp;"', '"&amp;I2&amp;"', '"&amp;J2&amp;"', '"&amp;K2&amp;"', '"&amp;L2&amp;"', '"&amp;M2&amp;"');"</f>
        <v>insert into customer values (1, 'Herrera', 'Glenda', 'E', '1982/2/4', '676 Rocky New Boulevard', 'Mobile', 'KS', '8342', '534-634-2654', '806-579-6431', 'gherree', 'GgFGmtupt');</v>
      </c>
      <c r="O2" s="3"/>
      <c r="P2" s="3"/>
    </row>
    <row r="3" spans="1:17" x14ac:dyDescent="0.35">
      <c r="A3" s="3">
        <v>2</v>
      </c>
      <c r="B3" s="3" t="s">
        <v>47</v>
      </c>
      <c r="C3" s="3" t="s">
        <v>48</v>
      </c>
      <c r="D3" s="3" t="s">
        <v>49</v>
      </c>
      <c r="E3" s="3">
        <v>33573</v>
      </c>
      <c r="F3" s="3" t="s">
        <v>50</v>
      </c>
      <c r="G3" s="12" t="s">
        <v>51</v>
      </c>
      <c r="H3" s="3" t="s">
        <v>52</v>
      </c>
      <c r="I3" s="3">
        <v>93406</v>
      </c>
      <c r="J3" s="3" t="s">
        <v>53</v>
      </c>
      <c r="K3" s="3" t="s">
        <v>64</v>
      </c>
      <c r="L3" s="3" t="s">
        <v>55</v>
      </c>
      <c r="M3" s="3" t="s">
        <v>56</v>
      </c>
      <c r="N3" s="4" t="str">
        <f t="shared" ref="N3:N11" si="0">"insert into customer values ("&amp;A3&amp;", '"&amp;B3&amp;"', '"&amp;C3&amp;"', '"&amp;D3&amp;"', '"&amp;YEAR(E3)&amp;"/"&amp;MONTH(E3)&amp;"/"&amp;DAY(E3)&amp;"', '"&amp;F3&amp;"', '"&amp;G3&amp;"', '"&amp;H3&amp;"', '"&amp;I3&amp;"', '"&amp;J3&amp;"', '"&amp;K3&amp;"', '"&amp;L3&amp;"', '"&amp;M3&amp;"');"</f>
        <v>insert into customer values (2, 'Allen', 'Garry', 'A', '1991/12/1', '443 New Way', 'Toledo', 'SC', '93406', '612-436-3061', '376-477-4377', 'gallena', 'jmCvXnCRx');</v>
      </c>
      <c r="O3" s="3"/>
      <c r="P3" s="3"/>
    </row>
    <row r="4" spans="1:17" x14ac:dyDescent="0.35">
      <c r="A4" s="3">
        <v>3</v>
      </c>
      <c r="B4" s="3" t="s">
        <v>57</v>
      </c>
      <c r="C4" s="3" t="s">
        <v>58</v>
      </c>
      <c r="D4" s="3" t="s">
        <v>59</v>
      </c>
      <c r="E4" s="3">
        <v>16181</v>
      </c>
      <c r="F4" s="3" t="s">
        <v>60</v>
      </c>
      <c r="G4" s="12" t="s">
        <v>61</v>
      </c>
      <c r="H4" s="3" t="s">
        <v>62</v>
      </c>
      <c r="I4" s="3">
        <v>11017</v>
      </c>
      <c r="J4" s="3" t="s">
        <v>63</v>
      </c>
      <c r="K4" s="3" t="s">
        <v>73</v>
      </c>
      <c r="L4" s="3" t="s">
        <v>65</v>
      </c>
      <c r="M4" s="3" t="s">
        <v>66</v>
      </c>
      <c r="N4" s="4" t="str">
        <f t="shared" si="0"/>
        <v>insert into customer values (3, 'Murillo', 'Josh', 'Z', '1944/4/19', '773 Rocky Fabien Road', 'Omaha', 'GA', '11017', '689-306-0292', '307-546-1064', 'jmurilz', 'E8gaT34X7');</v>
      </c>
      <c r="O4" s="3"/>
      <c r="P4" s="3"/>
    </row>
    <row r="5" spans="1:17" x14ac:dyDescent="0.35">
      <c r="A5" s="3">
        <v>4</v>
      </c>
      <c r="B5" s="3" t="s">
        <v>67</v>
      </c>
      <c r="C5" s="3" t="s">
        <v>68</v>
      </c>
      <c r="D5" s="3" t="s">
        <v>69</v>
      </c>
      <c r="E5" s="3">
        <v>25750</v>
      </c>
      <c r="F5" s="3" t="s">
        <v>70</v>
      </c>
      <c r="G5" s="12" t="s">
        <v>71</v>
      </c>
      <c r="H5" s="3" t="s">
        <v>62</v>
      </c>
      <c r="I5" s="3">
        <v>49242</v>
      </c>
      <c r="J5" s="3" t="s">
        <v>72</v>
      </c>
      <c r="K5" s="3" t="s">
        <v>82</v>
      </c>
      <c r="L5" s="3" t="s">
        <v>74</v>
      </c>
      <c r="M5" s="3" t="s">
        <v>75</v>
      </c>
      <c r="N5" s="4" t="str">
        <f t="shared" si="0"/>
        <v>insert into customer values (4, 'Waller', 'Janice', 'X', '1970/7/1', '47 Yellow Clarendon St.', 'Fremont', 'GA', '49242', '733-575-4686', '458-068-5790', 'jwallex', '4fdw2QG7d');</v>
      </c>
      <c r="O5" s="3"/>
      <c r="P5" s="3"/>
    </row>
    <row r="6" spans="1:17" x14ac:dyDescent="0.35">
      <c r="A6" s="3">
        <v>5</v>
      </c>
      <c r="B6" s="3" t="s">
        <v>76</v>
      </c>
      <c r="C6" s="3" t="s">
        <v>77</v>
      </c>
      <c r="D6" s="3" t="s">
        <v>1</v>
      </c>
      <c r="E6" s="3">
        <v>28117</v>
      </c>
      <c r="F6" s="3" t="s">
        <v>78</v>
      </c>
      <c r="G6" s="12" t="s">
        <v>79</v>
      </c>
      <c r="H6" s="3" t="s">
        <v>80</v>
      </c>
      <c r="I6" s="3">
        <v>96649</v>
      </c>
      <c r="J6" s="3" t="s">
        <v>81</v>
      </c>
      <c r="K6" s="3" t="s">
        <v>90</v>
      </c>
      <c r="L6" s="3" t="s">
        <v>83</v>
      </c>
      <c r="M6" s="3" t="s">
        <v>84</v>
      </c>
      <c r="N6" s="4" t="str">
        <f t="shared" si="0"/>
        <v>insert into customer values (5, 'Contreras', 'Aisha', 'H', '1976/12/23', '987 Fabien Way', 'Tampa', 'AL', '96649', '389-375-6502', '502-683-4832', 'acontrh', '2jO0uBjOU');</v>
      </c>
      <c r="O6" s="3"/>
      <c r="P6" s="3"/>
    </row>
    <row r="7" spans="1:17" x14ac:dyDescent="0.35">
      <c r="A7" s="3">
        <v>6</v>
      </c>
      <c r="B7" s="3" t="s">
        <v>39</v>
      </c>
      <c r="C7" s="3" t="s">
        <v>85</v>
      </c>
      <c r="D7" s="3" t="s">
        <v>0</v>
      </c>
      <c r="E7" s="3">
        <v>31134</v>
      </c>
      <c r="F7" s="3" t="s">
        <v>86</v>
      </c>
      <c r="G7" s="12" t="s">
        <v>87</v>
      </c>
      <c r="H7" s="3" t="s">
        <v>88</v>
      </c>
      <c r="I7" s="3">
        <v>558</v>
      </c>
      <c r="J7" s="3" t="s">
        <v>89</v>
      </c>
      <c r="K7" s="3" t="s">
        <v>99</v>
      </c>
      <c r="L7" s="3" t="s">
        <v>91</v>
      </c>
      <c r="M7" s="3" t="s">
        <v>92</v>
      </c>
      <c r="N7" s="4" t="str">
        <f t="shared" si="0"/>
        <v>insert into customer values (6, 'Herrera', 'Rick', 'E', '1985/3/28', '87 Green Narwhal Avenue', 'Colorado', 'MA', '558', '484-925-6318', '845-709-2288', 'rherree', 'AjAfg7zem');</v>
      </c>
      <c r="O7" s="3"/>
      <c r="P7" s="3"/>
    </row>
    <row r="8" spans="1:17" x14ac:dyDescent="0.35">
      <c r="A8" s="3">
        <v>7</v>
      </c>
      <c r="B8" s="3" t="s">
        <v>93</v>
      </c>
      <c r="C8" s="3" t="s">
        <v>94</v>
      </c>
      <c r="D8" s="3" t="s">
        <v>59</v>
      </c>
      <c r="E8" s="3">
        <v>20990</v>
      </c>
      <c r="F8" s="3" t="s">
        <v>95</v>
      </c>
      <c r="G8" s="12" t="s">
        <v>96</v>
      </c>
      <c r="H8" s="3" t="s">
        <v>97</v>
      </c>
      <c r="I8" s="3">
        <v>54389</v>
      </c>
      <c r="J8" s="3" t="s">
        <v>98</v>
      </c>
      <c r="K8" s="3" t="s">
        <v>108</v>
      </c>
      <c r="L8" s="3" t="s">
        <v>100</v>
      </c>
      <c r="M8" s="3" t="s">
        <v>101</v>
      </c>
      <c r="N8" s="4" t="str">
        <f t="shared" si="0"/>
        <v>insert into customer values (7, 'Riddle', 'Levi', 'Z', '1957/6/19', '159 Nobel Drive', 'El Paso', 'ND', '54389', '851-104-7738', '180-373-9647', 'lriddlz', 'pMiCs49Fs');</v>
      </c>
      <c r="O8" s="3"/>
      <c r="P8" s="3"/>
    </row>
    <row r="9" spans="1:17" x14ac:dyDescent="0.35">
      <c r="A9" s="3">
        <v>8</v>
      </c>
      <c r="B9" s="3" t="s">
        <v>102</v>
      </c>
      <c r="C9" s="3" t="s">
        <v>103</v>
      </c>
      <c r="D9" s="3" t="s">
        <v>104</v>
      </c>
      <c r="E9" s="3">
        <v>33282</v>
      </c>
      <c r="F9" s="3" t="s">
        <v>105</v>
      </c>
      <c r="G9" s="12" t="s">
        <v>106</v>
      </c>
      <c r="H9" s="3" t="s">
        <v>88</v>
      </c>
      <c r="I9" s="3">
        <v>99386</v>
      </c>
      <c r="J9" s="3" t="s">
        <v>107</v>
      </c>
      <c r="K9" s="3" t="s">
        <v>117</v>
      </c>
      <c r="L9" s="3" t="s">
        <v>109</v>
      </c>
      <c r="M9" s="3" t="s">
        <v>110</v>
      </c>
      <c r="N9" s="4" t="str">
        <f t="shared" si="0"/>
        <v>insert into customer values (8, 'Rojas', 'Lakesha', 'K', '1991/2/13', '33 Yellow Fabien Parkway', 'Garland', 'MA', '99386', '174-722-3739', '700-754-8413', 'lrojask', 'X4ozUVkfg');</v>
      </c>
      <c r="O9" s="3"/>
      <c r="P9" s="3"/>
    </row>
    <row r="10" spans="1:17" x14ac:dyDescent="0.35">
      <c r="A10" s="3">
        <v>9</v>
      </c>
      <c r="B10" s="3" t="s">
        <v>111</v>
      </c>
      <c r="C10" s="3" t="s">
        <v>112</v>
      </c>
      <c r="D10" s="3" t="s">
        <v>3</v>
      </c>
      <c r="E10" s="3">
        <v>32130</v>
      </c>
      <c r="F10" s="3" t="s">
        <v>113</v>
      </c>
      <c r="G10" s="12" t="s">
        <v>114</v>
      </c>
      <c r="H10" s="3" t="s">
        <v>115</v>
      </c>
      <c r="I10" s="3">
        <v>92383</v>
      </c>
      <c r="J10" s="3" t="s">
        <v>116</v>
      </c>
      <c r="K10" s="3" t="s">
        <v>126</v>
      </c>
      <c r="L10" s="3" t="s">
        <v>118</v>
      </c>
      <c r="M10" s="3" t="s">
        <v>119</v>
      </c>
      <c r="N10" s="4" t="str">
        <f t="shared" si="0"/>
        <v>insert into customer values (9, 'French', 'Bryan', 'M', '1987/12/19', '86 South Yellow New Street', 'Phoenix', 'HI', '92383', '501-574-8954', '904-835-7577', 'bfrencm', 'Jg3NWKVxG');</v>
      </c>
      <c r="O10" s="3"/>
      <c r="P10" s="3"/>
    </row>
    <row r="11" spans="1:17" x14ac:dyDescent="0.35">
      <c r="A11" s="3">
        <v>10</v>
      </c>
      <c r="B11" s="3" t="s">
        <v>120</v>
      </c>
      <c r="C11" s="3" t="s">
        <v>121</v>
      </c>
      <c r="D11" s="3" t="s">
        <v>122</v>
      </c>
      <c r="E11" s="3">
        <v>34392</v>
      </c>
      <c r="F11" s="3" t="s">
        <v>209</v>
      </c>
      <c r="G11" s="3" t="s">
        <v>123</v>
      </c>
      <c r="H11" s="3" t="s">
        <v>124</v>
      </c>
      <c r="I11" s="3">
        <v>56515</v>
      </c>
      <c r="J11" s="3" t="s">
        <v>125</v>
      </c>
      <c r="K11" s="3" t="s">
        <v>129</v>
      </c>
      <c r="L11" s="3" t="s">
        <v>127</v>
      </c>
      <c r="M11" s="3" t="s">
        <v>128</v>
      </c>
      <c r="N11" s="4" t="str">
        <f t="shared" si="0"/>
        <v>insert into customer values (10, 'Bean', 'Anthony', 'V', '1994/2/27', '905 Liberty Circle', 'Riverside', 'AZ', '56515', '974-007-0885', '584-814-2972', 'abeanv', 'QbKt8f1B7');</v>
      </c>
    </row>
    <row r="12" spans="1:17" x14ac:dyDescent="0.35">
      <c r="A12" s="3"/>
      <c r="B12" s="3"/>
      <c r="C12" s="3"/>
      <c r="D12" s="3"/>
      <c r="E12" s="12"/>
      <c r="F12" s="3"/>
      <c r="G12" s="3"/>
      <c r="H12" s="3"/>
      <c r="I12" s="3"/>
      <c r="J12" s="3"/>
      <c r="K12" s="3"/>
      <c r="L12" s="3"/>
    </row>
    <row r="13" spans="1:17" x14ac:dyDescent="0.35">
      <c r="A13" s="3"/>
      <c r="B13" s="3"/>
      <c r="C13" s="3"/>
      <c r="D13" s="3"/>
      <c r="E13" s="12"/>
      <c r="F13" s="3"/>
      <c r="G13" s="3"/>
      <c r="H13" s="3"/>
      <c r="I13" s="3"/>
      <c r="J13" s="3"/>
      <c r="K13" s="3"/>
      <c r="L13" s="3"/>
    </row>
    <row r="14" spans="1:17" x14ac:dyDescent="0.35">
      <c r="B14" s="17" t="str">
        <f>"insert into customer values ("&amp;A2&amp;", '"&amp;B2&amp;"', '"&amp;C2&amp;"', '"&amp;D2&amp;"', '"&amp;DAY(E2)&amp;"/"&amp;MONTH(E2)&amp;"/"&amp;YEAR(E2)&amp;"', '"&amp;F2</f>
        <v>insert into customer values (1, 'Herrera', 'Glenda', 'E', '4/2/1982', '676 Rocky New Boulevard</v>
      </c>
      <c r="C14" s="3"/>
      <c r="D14" s="3"/>
      <c r="E14" s="12"/>
      <c r="F14" s="3"/>
      <c r="G14" s="3"/>
      <c r="H14" s="3"/>
      <c r="I14" s="3"/>
      <c r="J14" s="3"/>
      <c r="K14" s="3"/>
      <c r="L14" s="3"/>
    </row>
    <row r="15" spans="1:17" x14ac:dyDescent="0.35">
      <c r="A15" s="3"/>
      <c r="B15" s="17"/>
      <c r="C15" s="3"/>
      <c r="D15" s="3"/>
      <c r="E15" s="12"/>
      <c r="F15" s="3"/>
      <c r="G15" s="3"/>
      <c r="H15" s="3"/>
      <c r="I15" s="3"/>
      <c r="J15" s="3"/>
      <c r="K15" s="3"/>
      <c r="L15" s="3"/>
    </row>
    <row r="16" spans="1:17" ht="22.5" x14ac:dyDescent="0.45">
      <c r="B16" s="17"/>
      <c r="D16" s="2"/>
      <c r="E16"/>
      <c r="F16" s="11"/>
      <c r="G16" s="3"/>
      <c r="K16" s="4" t="s">
        <v>208</v>
      </c>
      <c r="L16" s="4"/>
      <c r="M16" s="4"/>
      <c r="N16" s="4"/>
      <c r="O16" s="4"/>
      <c r="P16" s="4"/>
      <c r="Q16" s="4"/>
    </row>
    <row r="17" spans="2:20" ht="22.5" x14ac:dyDescent="0.45">
      <c r="B17" s="17"/>
      <c r="D17" s="2"/>
      <c r="K17" s="8" t="s">
        <v>130</v>
      </c>
      <c r="L17" s="8"/>
      <c r="M17" s="8"/>
      <c r="N17" s="8"/>
      <c r="O17" s="8"/>
      <c r="P17" s="8"/>
      <c r="Q17" s="8"/>
      <c r="R17" s="8"/>
      <c r="S17" s="8"/>
      <c r="T17" s="8"/>
    </row>
    <row r="18" spans="2:20" ht="22.5" x14ac:dyDescent="0.45">
      <c r="B18" s="17"/>
      <c r="D18" s="2"/>
      <c r="K18" s="10" t="s">
        <v>25</v>
      </c>
      <c r="L18" s="10"/>
      <c r="M18" s="10"/>
      <c r="N18" s="10"/>
    </row>
    <row r="19" spans="2:20" ht="15.75" customHeight="1" x14ac:dyDescent="0.35">
      <c r="B19" s="17"/>
      <c r="D19" s="1"/>
    </row>
    <row r="20" spans="2:20" ht="22.5" x14ac:dyDescent="0.45">
      <c r="B20" s="17"/>
      <c r="D20" s="2"/>
    </row>
    <row r="21" spans="2:20" ht="22.5" x14ac:dyDescent="0.45">
      <c r="B21" s="17"/>
      <c r="D21" s="2"/>
      <c r="K21" t="s">
        <v>211</v>
      </c>
      <c r="M21" s="11"/>
    </row>
    <row r="22" spans="2:20" x14ac:dyDescent="0.35">
      <c r="B22" s="17"/>
    </row>
    <row r="23" spans="2:20" x14ac:dyDescent="0.35">
      <c r="B23" s="17"/>
      <c r="C23" s="3"/>
      <c r="D23" s="3"/>
      <c r="E23" s="12"/>
      <c r="F23" s="3"/>
      <c r="G23" s="3"/>
      <c r="H23" s="3"/>
      <c r="I23" s="3"/>
      <c r="J23" s="3"/>
      <c r="K23" s="3"/>
      <c r="L23" s="3"/>
      <c r="M23" s="18"/>
      <c r="N23" s="17"/>
    </row>
    <row r="24" spans="2:20" x14ac:dyDescent="0.35">
      <c r="M24" s="18"/>
      <c r="N24" s="17"/>
    </row>
    <row r="35" spans="1:13" x14ac:dyDescent="0.35">
      <c r="A35" s="3"/>
      <c r="B35" s="3"/>
      <c r="C35" s="3"/>
      <c r="D35" s="3"/>
      <c r="E35" s="12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12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12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12"/>
      <c r="F38" s="3"/>
      <c r="G38" s="3"/>
      <c r="H38" s="3"/>
      <c r="I38" s="3"/>
      <c r="J38" s="3"/>
      <c r="K38" s="3"/>
      <c r="L38" s="3"/>
      <c r="M3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selection activeCell="D2" sqref="D2"/>
    </sheetView>
  </sheetViews>
  <sheetFormatPr defaultColWidth="31.453125" defaultRowHeight="14.5" x14ac:dyDescent="0.35"/>
  <cols>
    <col min="1" max="1" width="10.54296875" bestFit="1" customWidth="1"/>
    <col min="2" max="2" width="18" bestFit="1" customWidth="1"/>
    <col min="4" max="4" width="48" bestFit="1" customWidth="1"/>
  </cols>
  <sheetData>
    <row r="1" spans="1:4" x14ac:dyDescent="0.35">
      <c r="A1" s="13" t="s">
        <v>131</v>
      </c>
      <c r="B1" s="13" t="s">
        <v>132</v>
      </c>
    </row>
    <row r="2" spans="1:4" x14ac:dyDescent="0.35">
      <c r="A2" s="3">
        <v>1</v>
      </c>
      <c r="B2" t="s">
        <v>4</v>
      </c>
      <c r="C2" s="7" t="str">
        <f>SUBSTITUTE(B2,"'","''")</f>
        <v>Women''s Clothing</v>
      </c>
      <c r="D2" s="4" t="str">
        <f>"insert into category values ("&amp;A2&amp;", '"&amp;C2&amp;"');"</f>
        <v>insert into category values (1, 'Women''s Clothing');</v>
      </c>
    </row>
    <row r="3" spans="1:4" x14ac:dyDescent="0.35">
      <c r="A3" s="3">
        <v>2</v>
      </c>
      <c r="B3" t="s">
        <v>133</v>
      </c>
      <c r="C3" s="7" t="str">
        <f t="shared" ref="C3:C11" si="0">SUBSTITUTE(B3,"'","''")</f>
        <v>Camping</v>
      </c>
      <c r="D3" s="4" t="str">
        <f t="shared" ref="D3:D11" si="1">"insert into category values ("&amp;A3&amp;", '"&amp;C3&amp;"');"</f>
        <v>insert into category values (2, 'Camping');</v>
      </c>
    </row>
    <row r="4" spans="1:4" x14ac:dyDescent="0.35">
      <c r="A4" s="3">
        <v>3</v>
      </c>
      <c r="B4" t="s">
        <v>134</v>
      </c>
      <c r="C4" s="7" t="str">
        <f t="shared" si="0"/>
        <v>Imports</v>
      </c>
      <c r="D4" s="4" t="str">
        <f t="shared" si="1"/>
        <v>insert into category values (3, 'Imports');</v>
      </c>
    </row>
    <row r="5" spans="1:4" x14ac:dyDescent="0.35">
      <c r="A5" s="3">
        <v>4</v>
      </c>
      <c r="B5" t="s">
        <v>135</v>
      </c>
      <c r="C5" s="7" t="str">
        <f t="shared" si="0"/>
        <v>Hiking</v>
      </c>
      <c r="D5" s="4" t="str">
        <f t="shared" si="1"/>
        <v>insert into category values (4, 'Hiking');</v>
      </c>
    </row>
    <row r="6" spans="1:4" x14ac:dyDescent="0.35">
      <c r="A6" s="3">
        <v>5</v>
      </c>
      <c r="B6" t="s">
        <v>136</v>
      </c>
      <c r="C6" s="7" t="str">
        <f t="shared" si="0"/>
        <v>New</v>
      </c>
      <c r="D6" s="4" t="str">
        <f t="shared" si="1"/>
        <v>insert into category values (5, 'New');</v>
      </c>
    </row>
    <row r="7" spans="1:4" x14ac:dyDescent="0.35">
      <c r="A7" s="3">
        <v>6</v>
      </c>
      <c r="B7" t="s">
        <v>137</v>
      </c>
      <c r="C7" s="7" t="str">
        <f t="shared" si="0"/>
        <v>Hipster</v>
      </c>
      <c r="D7" s="4" t="str">
        <f t="shared" si="1"/>
        <v>insert into category values (6, 'Hipster');</v>
      </c>
    </row>
    <row r="8" spans="1:4" x14ac:dyDescent="0.35">
      <c r="A8" s="3">
        <v>7</v>
      </c>
      <c r="B8" t="s">
        <v>5</v>
      </c>
      <c r="C8" s="7" t="str">
        <f t="shared" si="0"/>
        <v>Children''s Clothing</v>
      </c>
      <c r="D8" s="4" t="str">
        <f t="shared" si="1"/>
        <v>insert into category values (7, 'Children''s Clothing');</v>
      </c>
    </row>
    <row r="9" spans="1:4" x14ac:dyDescent="0.35">
      <c r="A9" s="3">
        <v>8</v>
      </c>
      <c r="B9" t="s">
        <v>138</v>
      </c>
      <c r="C9" s="7" t="str">
        <f t="shared" si="0"/>
        <v>Misc. Sporting</v>
      </c>
      <c r="D9" s="4" t="str">
        <f t="shared" si="1"/>
        <v>insert into category values (8, 'Misc. Sporting');</v>
      </c>
    </row>
    <row r="10" spans="1:4" x14ac:dyDescent="0.35">
      <c r="A10" s="3">
        <v>9</v>
      </c>
      <c r="B10" t="s">
        <v>6</v>
      </c>
      <c r="C10" s="7" t="str">
        <f t="shared" si="0"/>
        <v>Men''s Clothing</v>
      </c>
      <c r="D10" s="4" t="str">
        <f t="shared" si="1"/>
        <v>insert into category values (9, 'Men''s Clothing');</v>
      </c>
    </row>
    <row r="11" spans="1:4" x14ac:dyDescent="0.35">
      <c r="A11" s="3">
        <v>10</v>
      </c>
      <c r="B11" t="s">
        <v>139</v>
      </c>
      <c r="C11" s="7" t="str">
        <f t="shared" si="0"/>
        <v>Sale</v>
      </c>
      <c r="D11" s="4" t="str">
        <f t="shared" si="1"/>
        <v>insert into category values (10, 'Sale');</v>
      </c>
    </row>
    <row r="14" spans="1:4" x14ac:dyDescent="0.35">
      <c r="C14" s="7" t="s">
        <v>7</v>
      </c>
    </row>
    <row r="16" spans="1:4" x14ac:dyDescent="0.35">
      <c r="C16" s="4" t="s">
        <v>16</v>
      </c>
    </row>
    <row r="18" spans="3:3" x14ac:dyDescent="0.35">
      <c r="C18" t="s">
        <v>210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opLeftCell="C1" zoomScaleNormal="100" workbookViewId="0">
      <selection activeCell="H2" sqref="H2"/>
    </sheetView>
  </sheetViews>
  <sheetFormatPr defaultRowHeight="14.5" x14ac:dyDescent="0.35"/>
  <cols>
    <col min="1" max="1" width="5.453125" bestFit="1" customWidth="1"/>
    <col min="2" max="2" width="7.1796875" bestFit="1" customWidth="1"/>
    <col min="3" max="3" width="8.1796875" bestFit="1" customWidth="1"/>
    <col min="4" max="4" width="7.1796875" bestFit="1" customWidth="1"/>
    <col min="5" max="5" width="79.453125" bestFit="1" customWidth="1"/>
    <col min="6" max="6" width="13.81640625" bestFit="1" customWidth="1"/>
    <col min="7" max="7" width="5.26953125" bestFit="1" customWidth="1"/>
    <col min="8" max="9" width="93.1796875" bestFit="1" customWidth="1"/>
  </cols>
  <sheetData>
    <row r="1" spans="1:9" x14ac:dyDescent="0.3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8</v>
      </c>
      <c r="G1" t="s">
        <v>131</v>
      </c>
    </row>
    <row r="2" spans="1:9" x14ac:dyDescent="0.35">
      <c r="A2">
        <v>1</v>
      </c>
      <c r="B2" t="s">
        <v>9</v>
      </c>
      <c r="C2">
        <v>247.57</v>
      </c>
      <c r="D2">
        <v>34</v>
      </c>
      <c r="E2" t="s">
        <v>145</v>
      </c>
      <c r="F2" t="s">
        <v>146</v>
      </c>
      <c r="G2">
        <v>9</v>
      </c>
      <c r="H2" s="7" t="str">
        <f>"insert into inventory values ("&amp;A2&amp;", "&amp;"'"&amp;B2&amp;"'"&amp;", "&amp;C2&amp;", "&amp;D2&amp;", '"&amp;E2&amp;"', '"&amp;F2&amp;"', "&amp;G2&amp;");"</f>
        <v>insert into inventory values (1, 'S', 247.57, 34, 'egreddior trepicandor novum', 'DarkViolet', 9);</v>
      </c>
      <c r="I2" s="4" t="str">
        <f>SUBSTITUTE(H2,"'NULL'","NULL")</f>
        <v>insert into inventory values (1, 'S', 247.57, 34, 'egreddior trepicandor novum', 'DarkViolet', 9);</v>
      </c>
    </row>
    <row r="3" spans="1:9" x14ac:dyDescent="0.35">
      <c r="A3">
        <v>2</v>
      </c>
      <c r="B3" t="s">
        <v>147</v>
      </c>
      <c r="C3">
        <v>131.16999999999999</v>
      </c>
      <c r="D3">
        <v>123</v>
      </c>
      <c r="E3" t="s">
        <v>148</v>
      </c>
      <c r="F3" t="s">
        <v>149</v>
      </c>
      <c r="G3">
        <v>6</v>
      </c>
      <c r="H3" s="7" t="str">
        <f t="shared" ref="H3:H21" si="0">"insert into inventory values ("&amp;A3&amp;", "&amp;"'"&amp;B3&amp;"'"&amp;", "&amp;C3&amp;", "&amp;D3&amp;", '"&amp;E3&amp;"', '"&amp;F3&amp;"', "&amp;G3&amp;");"</f>
        <v>insert into inventory values (2, 'XS', 131.17, 123, 'plorum Tam quo Versus Multum', 'DarkSlateGray', 6);</v>
      </c>
      <c r="I3" s="4" t="str">
        <f t="shared" ref="I3:I21" si="1">SUBSTITUTE(H3,"'NULL'","NULL")</f>
        <v>insert into inventory values (2, 'XS', 131.17, 123, 'plorum Tam quo Versus Multum', 'DarkSlateGray', 6);</v>
      </c>
    </row>
    <row r="4" spans="1:9" x14ac:dyDescent="0.35">
      <c r="A4">
        <v>3</v>
      </c>
      <c r="B4" t="s">
        <v>147</v>
      </c>
      <c r="C4">
        <v>299.43</v>
      </c>
      <c r="D4">
        <v>190</v>
      </c>
      <c r="E4" t="s">
        <v>150</v>
      </c>
      <c r="F4" t="s">
        <v>12</v>
      </c>
      <c r="G4">
        <v>6</v>
      </c>
      <c r="H4" s="7" t="str">
        <f t="shared" si="0"/>
        <v>insert into inventory values (3, 'XS', 299.43, 190, 'non Quad gravis plurissimum', 'Turquoise', 6);</v>
      </c>
      <c r="I4" s="4" t="str">
        <f t="shared" si="1"/>
        <v>insert into inventory values (3, 'XS', 299.43, 190, 'non Quad gravis plurissimum', 'Turquoise', 6);</v>
      </c>
    </row>
    <row r="5" spans="1:9" x14ac:dyDescent="0.35">
      <c r="A5">
        <v>4</v>
      </c>
      <c r="B5" t="s">
        <v>151</v>
      </c>
      <c r="C5">
        <v>38.9</v>
      </c>
      <c r="D5">
        <v>117</v>
      </c>
      <c r="E5" t="s">
        <v>152</v>
      </c>
      <c r="F5" t="s">
        <v>153</v>
      </c>
      <c r="G5">
        <v>5</v>
      </c>
      <c r="H5" s="7" t="str">
        <f t="shared" si="0"/>
        <v>insert into inventory values (4, 'XXL', 38.9, 117, 'nomen quartu e transit. vobis', 'PaleTurquoise', 5);</v>
      </c>
      <c r="I5" s="4" t="str">
        <f t="shared" si="1"/>
        <v>insert into inventory values (4, 'XXL', 38.9, 117, 'nomen quartu e transit. vobis', 'PaleTurquoise', 5);</v>
      </c>
    </row>
    <row r="6" spans="1:9" x14ac:dyDescent="0.35">
      <c r="A6">
        <v>5</v>
      </c>
      <c r="B6" t="s">
        <v>10</v>
      </c>
      <c r="C6">
        <v>341.69</v>
      </c>
      <c r="D6">
        <v>156</v>
      </c>
      <c r="E6" t="s">
        <v>154</v>
      </c>
      <c r="F6" t="s">
        <v>155</v>
      </c>
      <c r="G6">
        <v>3</v>
      </c>
      <c r="H6" s="7" t="str">
        <f t="shared" si="0"/>
        <v>insert into inventory values (5, 'L', 341.69, 156, 'transit. non novum gravis ut', 'ForestGreen', 3);</v>
      </c>
      <c r="I6" s="4" t="str">
        <f t="shared" si="1"/>
        <v>insert into inventory values (5, 'L', 341.69, 156, 'transit. non novum gravis ut', 'ForestGreen', 3);</v>
      </c>
    </row>
    <row r="7" spans="1:9" x14ac:dyDescent="0.35">
      <c r="A7">
        <v>6</v>
      </c>
      <c r="B7" t="s">
        <v>151</v>
      </c>
      <c r="C7">
        <v>234.32</v>
      </c>
      <c r="D7">
        <v>11</v>
      </c>
      <c r="E7" t="s">
        <v>156</v>
      </c>
      <c r="F7" t="s">
        <v>157</v>
      </c>
      <c r="G7">
        <v>5</v>
      </c>
      <c r="H7" s="7" t="str">
        <f t="shared" si="0"/>
        <v>insert into inventory values (6, 'XXL', 234.32, 11, 'brevens, quartu nomen Quad Sed', 'DeepSkyBlue', 5);</v>
      </c>
      <c r="I7" s="4" t="str">
        <f t="shared" si="1"/>
        <v>insert into inventory values (6, 'XXL', 234.32, 11, 'brevens, quartu nomen Quad Sed', 'DeepSkyBlue', 5);</v>
      </c>
    </row>
    <row r="8" spans="1:9" x14ac:dyDescent="0.35">
      <c r="A8">
        <v>7</v>
      </c>
      <c r="B8" t="s">
        <v>13</v>
      </c>
      <c r="C8">
        <v>45.82</v>
      </c>
      <c r="D8">
        <v>196</v>
      </c>
      <c r="E8" t="s">
        <v>158</v>
      </c>
      <c r="F8" t="s">
        <v>159</v>
      </c>
      <c r="G8">
        <v>5</v>
      </c>
      <c r="H8" s="7" t="str">
        <f t="shared" si="0"/>
        <v>insert into inventory values (7, 'XL', 45.82, 196, 'si Tam quad travissimantor quo', 'LightCoral', 5);</v>
      </c>
      <c r="I8" s="4" t="str">
        <f t="shared" si="1"/>
        <v>insert into inventory values (7, 'XL', 45.82, 196, 'si Tam quad travissimantor quo', 'LightCoral', 5);</v>
      </c>
    </row>
    <row r="9" spans="1:9" x14ac:dyDescent="0.35">
      <c r="A9">
        <v>8</v>
      </c>
      <c r="B9" t="s">
        <v>147</v>
      </c>
      <c r="C9">
        <v>218.57</v>
      </c>
      <c r="D9">
        <v>29</v>
      </c>
      <c r="E9" t="s">
        <v>160</v>
      </c>
      <c r="F9" t="s">
        <v>161</v>
      </c>
      <c r="G9">
        <v>1</v>
      </c>
      <c r="H9" s="7" t="str">
        <f t="shared" si="0"/>
        <v>insert into inventory values (8, 'XS', 218.57, 29, 'in glavans quo non quis', 'Cornsilk', 1);</v>
      </c>
      <c r="I9" s="4" t="str">
        <f t="shared" si="1"/>
        <v>insert into inventory values (8, 'XS', 218.57, 29, 'in glavans quo non quis', 'Cornsilk', 1);</v>
      </c>
    </row>
    <row r="10" spans="1:9" x14ac:dyDescent="0.35">
      <c r="A10">
        <v>9</v>
      </c>
      <c r="B10" t="s">
        <v>3</v>
      </c>
      <c r="C10">
        <v>186.01</v>
      </c>
      <c r="D10">
        <v>39</v>
      </c>
      <c r="E10" t="s">
        <v>162</v>
      </c>
      <c r="F10" t="s">
        <v>163</v>
      </c>
      <c r="G10">
        <v>10</v>
      </c>
      <c r="H10" s="7" t="str">
        <f t="shared" si="0"/>
        <v>insert into inventory values (9, 'M', 186.01, 39, 'venit. habitatio cognitio, non', 'SlateGrey', 10);</v>
      </c>
      <c r="I10" s="4" t="str">
        <f t="shared" si="1"/>
        <v>insert into inventory values (9, 'M', 186.01, 39, 'venit. habitatio cognitio, non', 'SlateGrey', 10);</v>
      </c>
    </row>
    <row r="11" spans="1:9" x14ac:dyDescent="0.35">
      <c r="A11">
        <v>10</v>
      </c>
      <c r="B11" t="s">
        <v>9</v>
      </c>
      <c r="C11">
        <v>193.68</v>
      </c>
      <c r="D11">
        <v>111</v>
      </c>
      <c r="E11" t="s">
        <v>164</v>
      </c>
      <c r="F11" t="s">
        <v>165</v>
      </c>
      <c r="G11">
        <v>4</v>
      </c>
      <c r="H11" s="7" t="str">
        <f t="shared" si="0"/>
        <v>insert into inventory values (10, 'S', 193.68, 111, 'Id si et plorum funem.', 'MintCream', 4);</v>
      </c>
      <c r="I11" s="4" t="str">
        <f t="shared" si="1"/>
        <v>insert into inventory values (10, 'S', 193.68, 111, 'Id si et plorum funem.', 'MintCream', 4);</v>
      </c>
    </row>
    <row r="12" spans="1:9" x14ac:dyDescent="0.35">
      <c r="A12">
        <v>11</v>
      </c>
      <c r="B12" t="s">
        <v>13</v>
      </c>
      <c r="C12">
        <v>166.78</v>
      </c>
      <c r="D12">
        <v>66</v>
      </c>
      <c r="E12" t="s">
        <v>166</v>
      </c>
      <c r="F12" t="s">
        <v>11</v>
      </c>
      <c r="G12">
        <v>9</v>
      </c>
      <c r="H12" s="7" t="str">
        <f t="shared" si="0"/>
        <v>insert into inventory values (11, 'XL', 166.78, 66, 'estum. linguens fecit, Versus', 'Navy', 9);</v>
      </c>
      <c r="I12" s="4" t="str">
        <f t="shared" si="1"/>
        <v>insert into inventory values (11, 'XL', 166.78, 66, 'estum. linguens fecit, Versus', 'Navy', 9);</v>
      </c>
    </row>
    <row r="13" spans="1:9" x14ac:dyDescent="0.35">
      <c r="A13">
        <v>12</v>
      </c>
      <c r="B13" t="s">
        <v>147</v>
      </c>
      <c r="C13">
        <v>330.79</v>
      </c>
      <c r="D13">
        <v>151</v>
      </c>
      <c r="E13" t="s">
        <v>167</v>
      </c>
      <c r="F13" t="s">
        <v>157</v>
      </c>
      <c r="G13">
        <v>1</v>
      </c>
      <c r="H13" s="7" t="str">
        <f t="shared" si="0"/>
        <v>insert into inventory values (12, 'XS', 330.79, 151, 'non volcans et Multum quartu', 'DeepSkyBlue', 1);</v>
      </c>
      <c r="I13" s="4" t="str">
        <f t="shared" si="1"/>
        <v>insert into inventory values (12, 'XS', 330.79, 151, 'non volcans et Multum quartu', 'DeepSkyBlue', 1);</v>
      </c>
    </row>
    <row r="14" spans="1:9" x14ac:dyDescent="0.35">
      <c r="A14">
        <v>13</v>
      </c>
      <c r="B14" t="s">
        <v>10</v>
      </c>
      <c r="C14">
        <v>82.01</v>
      </c>
      <c r="D14">
        <v>42</v>
      </c>
      <c r="E14" t="s">
        <v>2</v>
      </c>
      <c r="F14" t="s">
        <v>168</v>
      </c>
      <c r="G14">
        <v>6</v>
      </c>
      <c r="H14" s="7" t="str">
        <f t="shared" si="0"/>
        <v>insert into inventory values (13, 'L', 82.01, 42, 'NULL', 'DimGray', 6);</v>
      </c>
      <c r="I14" s="4" t="str">
        <f t="shared" si="1"/>
        <v>insert into inventory values (13, 'L', 82.01, 42, NULL, 'DimGray', 6);</v>
      </c>
    </row>
    <row r="15" spans="1:9" x14ac:dyDescent="0.35">
      <c r="A15">
        <v>14</v>
      </c>
      <c r="B15" t="s">
        <v>9</v>
      </c>
      <c r="C15">
        <v>271.38</v>
      </c>
      <c r="D15">
        <v>53</v>
      </c>
      <c r="E15" t="s">
        <v>169</v>
      </c>
      <c r="F15" t="s">
        <v>170</v>
      </c>
      <c r="G15">
        <v>7</v>
      </c>
      <c r="H15" s="7" t="str">
        <f t="shared" si="0"/>
        <v>insert into inventory values (14, 'S', 271.38, 53, 'bono venit. Longam, delerium.', 'Fuchsia', 7);</v>
      </c>
      <c r="I15" s="4" t="str">
        <f t="shared" si="1"/>
        <v>insert into inventory values (14, 'S', 271.38, 53, 'bono venit. Longam, delerium.', 'Fuchsia', 7);</v>
      </c>
    </row>
    <row r="16" spans="1:9" x14ac:dyDescent="0.35">
      <c r="A16">
        <v>15</v>
      </c>
      <c r="B16" t="s">
        <v>3</v>
      </c>
      <c r="C16">
        <v>34.36</v>
      </c>
      <c r="D16">
        <v>249</v>
      </c>
      <c r="E16" t="s">
        <v>171</v>
      </c>
      <c r="F16" t="s">
        <v>172</v>
      </c>
      <c r="G16">
        <v>1</v>
      </c>
      <c r="H16" s="7" t="str">
        <f t="shared" si="0"/>
        <v>insert into inventory values (15, 'M', 34.36, 249, 'volcans Longam, in linguens', 'DarkMagenta', 1);</v>
      </c>
      <c r="I16" s="4" t="str">
        <f t="shared" si="1"/>
        <v>insert into inventory values (15, 'M', 34.36, 249, 'volcans Longam, in linguens', 'DarkMagenta', 1);</v>
      </c>
    </row>
    <row r="17" spans="1:9" x14ac:dyDescent="0.35">
      <c r="A17">
        <v>16</v>
      </c>
      <c r="B17" t="s">
        <v>3</v>
      </c>
      <c r="C17">
        <v>20.76</v>
      </c>
      <c r="D17">
        <v>45</v>
      </c>
      <c r="E17" t="s">
        <v>173</v>
      </c>
      <c r="F17" t="s">
        <v>174</v>
      </c>
      <c r="G17">
        <v>5</v>
      </c>
      <c r="H17" s="7" t="str">
        <f t="shared" si="0"/>
        <v>insert into inventory values (16, 'M', 20.76, 45, 'quis et trepicandor quantare', 'Tan', 5);</v>
      </c>
      <c r="I17" s="4" t="str">
        <f t="shared" si="1"/>
        <v>insert into inventory values (16, 'M', 20.76, 45, 'quis et trepicandor quantare', 'Tan', 5);</v>
      </c>
    </row>
    <row r="18" spans="1:9" x14ac:dyDescent="0.35">
      <c r="A18">
        <v>17</v>
      </c>
      <c r="B18" t="s">
        <v>3</v>
      </c>
      <c r="C18">
        <v>310.52</v>
      </c>
      <c r="D18">
        <v>157</v>
      </c>
      <c r="E18" t="s">
        <v>175</v>
      </c>
      <c r="F18" t="s">
        <v>176</v>
      </c>
      <c r="G18">
        <v>10</v>
      </c>
      <c r="H18" s="7" t="str">
        <f t="shared" si="0"/>
        <v>insert into inventory values (17, 'M', 310.52, 157, 'transit. travissimantor si', 'DarkBlue', 10);</v>
      </c>
      <c r="I18" s="4" t="str">
        <f t="shared" si="1"/>
        <v>insert into inventory values (17, 'M', 310.52, 157, 'transit. travissimantor si', 'DarkBlue', 10);</v>
      </c>
    </row>
    <row r="19" spans="1:9" x14ac:dyDescent="0.35">
      <c r="A19">
        <v>18</v>
      </c>
      <c r="B19" t="s">
        <v>10</v>
      </c>
      <c r="C19">
        <v>40.53</v>
      </c>
      <c r="D19">
        <v>63</v>
      </c>
      <c r="E19" t="s">
        <v>177</v>
      </c>
      <c r="F19" t="s">
        <v>14</v>
      </c>
      <c r="G19">
        <v>8</v>
      </c>
      <c r="H19" s="7" t="str">
        <f t="shared" si="0"/>
        <v>insert into inventory values (18, 'L', 40.53, 63, 'esset glavans in in pladior', 'White', 8);</v>
      </c>
      <c r="I19" s="4" t="str">
        <f t="shared" si="1"/>
        <v>insert into inventory values (18, 'L', 40.53, 63, 'esset glavans in in pladior', 'White', 8);</v>
      </c>
    </row>
    <row r="20" spans="1:9" x14ac:dyDescent="0.35">
      <c r="A20">
        <v>19</v>
      </c>
      <c r="B20" t="s">
        <v>178</v>
      </c>
      <c r="C20">
        <v>329.05</v>
      </c>
      <c r="D20">
        <v>216</v>
      </c>
      <c r="E20" t="s">
        <v>179</v>
      </c>
      <c r="F20" t="s">
        <v>180</v>
      </c>
      <c r="G20">
        <v>4</v>
      </c>
      <c r="H20" s="7" t="str">
        <f t="shared" si="0"/>
        <v>insert into inventory values (19, 'XXXL', 329.05, 216, 'quo parte rarendum et', 'Aquamarine', 4);</v>
      </c>
      <c r="I20" s="4" t="str">
        <f t="shared" si="1"/>
        <v>insert into inventory values (19, 'XXXL', 329.05, 216, 'quo parte rarendum et', 'Aquamarine', 4);</v>
      </c>
    </row>
    <row r="21" spans="1:9" x14ac:dyDescent="0.35">
      <c r="A21">
        <v>20</v>
      </c>
      <c r="B21" t="s">
        <v>181</v>
      </c>
      <c r="C21">
        <v>125.53</v>
      </c>
      <c r="D21">
        <v>48</v>
      </c>
      <c r="E21" t="s">
        <v>182</v>
      </c>
      <c r="F21" t="s">
        <v>183</v>
      </c>
      <c r="G21">
        <v>10</v>
      </c>
      <c r="H21" s="7" t="str">
        <f t="shared" si="0"/>
        <v>insert into inventory values (20, 'XXXXL', 125.53, 48, 'pladior plurissimum Id', 'LightSalmon', 10);</v>
      </c>
      <c r="I21" s="4" t="str">
        <f t="shared" si="1"/>
        <v>insert into inventory values (20, 'XXXXL', 125.53, 48, 'pladior plurissimum Id', 'LightSalmon', 10);</v>
      </c>
    </row>
    <row r="22" spans="1:9" x14ac:dyDescent="0.35">
      <c r="A22" s="16"/>
      <c r="B22" s="16"/>
      <c r="C22" s="16"/>
      <c r="D22" s="16"/>
      <c r="E22" s="16"/>
      <c r="F22" s="16"/>
    </row>
    <row r="23" spans="1:9" x14ac:dyDescent="0.35">
      <c r="A23" s="16"/>
      <c r="B23" s="16"/>
      <c r="C23" s="16"/>
      <c r="D23" s="16"/>
      <c r="E23" s="16"/>
      <c r="F23" s="16"/>
    </row>
    <row r="24" spans="1:9" x14ac:dyDescent="0.35">
      <c r="A24" s="16"/>
      <c r="B24" s="16"/>
      <c r="C24" s="16"/>
      <c r="D24" s="16"/>
      <c r="E24" s="16"/>
    </row>
    <row r="25" spans="1:9" x14ac:dyDescent="0.35">
      <c r="A25" s="16"/>
      <c r="B25" s="16"/>
      <c r="C25" s="16"/>
    </row>
    <row r="26" spans="1:9" x14ac:dyDescent="0.35">
      <c r="A26" s="16"/>
      <c r="B26" s="16"/>
      <c r="C26" s="16"/>
      <c r="E26" s="4" t="s">
        <v>15</v>
      </c>
    </row>
    <row r="27" spans="1:9" x14ac:dyDescent="0.35">
      <c r="A27" s="16"/>
      <c r="B27" s="16"/>
      <c r="C27" s="16"/>
    </row>
    <row r="28" spans="1:9" x14ac:dyDescent="0.35">
      <c r="A28" s="16"/>
      <c r="B28" s="16"/>
      <c r="C28" s="16"/>
      <c r="E28" s="4" t="s">
        <v>16</v>
      </c>
    </row>
    <row r="29" spans="1:9" x14ac:dyDescent="0.35">
      <c r="A29" s="16"/>
      <c r="B29" s="16"/>
      <c r="C29" s="16"/>
    </row>
    <row r="30" spans="1:9" x14ac:dyDescent="0.35">
      <c r="A30" s="16"/>
      <c r="B30" s="16"/>
      <c r="C30" s="16"/>
    </row>
    <row r="31" spans="1:9" x14ac:dyDescent="0.35">
      <c r="A31" s="16"/>
      <c r="B31" s="16"/>
      <c r="C31" s="16"/>
      <c r="D31" s="16"/>
      <c r="E31" s="16"/>
      <c r="F31" s="16"/>
    </row>
    <row r="32" spans="1:9" x14ac:dyDescent="0.35">
      <c r="A32" s="16"/>
      <c r="B32" s="16"/>
      <c r="C32" s="16"/>
      <c r="D32" s="16"/>
      <c r="E32" s="16"/>
      <c r="F32" s="16"/>
    </row>
    <row r="33" spans="1:6" x14ac:dyDescent="0.35">
      <c r="A33" s="16"/>
      <c r="B33" s="16"/>
      <c r="C33" s="16"/>
      <c r="D33" s="16"/>
      <c r="E33" s="16"/>
      <c r="F33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C29" sqref="C29"/>
    </sheetView>
  </sheetViews>
  <sheetFormatPr defaultRowHeight="14.5" x14ac:dyDescent="0.35"/>
  <cols>
    <col min="1" max="1" width="5.7265625" bestFit="1" customWidth="1"/>
    <col min="2" max="2" width="27.26953125" bestFit="1" customWidth="1"/>
    <col min="3" max="3" width="39.26953125" bestFit="1" customWidth="1"/>
  </cols>
  <sheetData>
    <row r="1" spans="1:10" x14ac:dyDescent="0.35">
      <c r="A1" s="13" t="s">
        <v>184</v>
      </c>
      <c r="B1" s="13" t="s">
        <v>185</v>
      </c>
      <c r="C1" s="5"/>
    </row>
    <row r="2" spans="1:10" x14ac:dyDescent="0.35">
      <c r="A2">
        <v>1</v>
      </c>
      <c r="B2" t="s">
        <v>186</v>
      </c>
      <c r="C2" s="7" t="str">
        <f t="shared" ref="C2:C8" si="0">SUBSTITUTE(B2, "'", "''")</f>
        <v>Online</v>
      </c>
      <c r="D2" s="4" t="str">
        <f>"insert into ordersource values ("&amp;A2&amp;", '"&amp;C2&amp;"');"</f>
        <v>insert into ordersource values (1, 'Online');</v>
      </c>
      <c r="E2" s="4"/>
      <c r="F2" s="4"/>
      <c r="G2" s="4"/>
      <c r="H2" s="4"/>
      <c r="I2" s="4"/>
      <c r="J2" s="4"/>
    </row>
    <row r="3" spans="1:10" x14ac:dyDescent="0.35">
      <c r="A3">
        <v>2</v>
      </c>
      <c r="B3" t="s">
        <v>187</v>
      </c>
      <c r="C3" s="7" t="str">
        <f t="shared" si="0"/>
        <v>Retail</v>
      </c>
      <c r="D3" s="4" t="str">
        <f t="shared" ref="D3:D9" si="1">"insert into ordersource values ("&amp;A3&amp;", '"&amp;C3&amp;"');"</f>
        <v>insert into ordersource values (2, 'Retail');</v>
      </c>
      <c r="E3" s="4"/>
      <c r="F3" s="4"/>
      <c r="G3" s="4"/>
      <c r="H3" s="4"/>
      <c r="I3" s="4"/>
      <c r="J3" s="4"/>
    </row>
    <row r="4" spans="1:10" x14ac:dyDescent="0.35">
      <c r="A4">
        <v>3</v>
      </c>
      <c r="B4" t="s">
        <v>188</v>
      </c>
      <c r="C4" s="7" t="str">
        <f t="shared" si="0"/>
        <v>Winter Catalog Mail Order</v>
      </c>
      <c r="D4" s="4" t="str">
        <f t="shared" si="1"/>
        <v>insert into ordersource values (3, 'Winter Catalog Mail Order');</v>
      </c>
      <c r="E4" s="4"/>
      <c r="F4" s="4"/>
      <c r="G4" s="4"/>
      <c r="H4" s="4"/>
      <c r="I4" s="4"/>
      <c r="J4" s="4"/>
    </row>
    <row r="5" spans="1:10" x14ac:dyDescent="0.35">
      <c r="A5">
        <v>4</v>
      </c>
      <c r="B5" t="s">
        <v>189</v>
      </c>
      <c r="C5" s="7" t="str">
        <f t="shared" si="0"/>
        <v>Summer Catalog Mail Order</v>
      </c>
      <c r="D5" s="4" t="str">
        <f t="shared" si="1"/>
        <v>insert into ordersource values (4, 'Summer Catalog Mail Order');</v>
      </c>
      <c r="E5" s="4"/>
      <c r="F5" s="4"/>
      <c r="G5" s="4"/>
      <c r="H5" s="4"/>
      <c r="I5" s="4"/>
      <c r="J5" s="4"/>
    </row>
    <row r="6" spans="1:10" x14ac:dyDescent="0.35">
      <c r="A6">
        <v>5</v>
      </c>
      <c r="B6" t="s">
        <v>190</v>
      </c>
      <c r="C6" s="7" t="str">
        <f t="shared" si="0"/>
        <v>Spring Catalog Mail Order</v>
      </c>
      <c r="D6" s="4" t="str">
        <f t="shared" si="1"/>
        <v>insert into ordersource values (5, 'Spring Catalog Mail Order');</v>
      </c>
      <c r="E6" s="4"/>
      <c r="F6" s="4"/>
      <c r="G6" s="4"/>
      <c r="H6" s="4"/>
      <c r="I6" s="4"/>
      <c r="J6" s="4"/>
    </row>
    <row r="7" spans="1:10" x14ac:dyDescent="0.35">
      <c r="A7">
        <v>6</v>
      </c>
      <c r="B7" t="s">
        <v>191</v>
      </c>
      <c r="C7" s="7" t="str">
        <f t="shared" si="0"/>
        <v>Phone</v>
      </c>
      <c r="D7" s="4" t="str">
        <f t="shared" si="1"/>
        <v>insert into ordersource values (6, 'Phone');</v>
      </c>
      <c r="E7" s="4"/>
      <c r="F7" s="4"/>
      <c r="G7" s="4"/>
      <c r="H7" s="4"/>
      <c r="I7" s="4"/>
      <c r="J7" s="4"/>
    </row>
    <row r="8" spans="1:10" x14ac:dyDescent="0.35">
      <c r="A8">
        <v>7</v>
      </c>
      <c r="B8" t="s">
        <v>192</v>
      </c>
      <c r="C8" s="7" t="str">
        <f t="shared" si="0"/>
        <v>Fall Catalog Mail Order</v>
      </c>
      <c r="D8" s="4" t="str">
        <f t="shared" si="1"/>
        <v>insert into ordersource values (7, 'Fall Catalog Mail Order');</v>
      </c>
      <c r="E8" s="4"/>
      <c r="F8" s="4"/>
      <c r="G8" s="4"/>
      <c r="H8" s="4"/>
      <c r="I8" s="4"/>
      <c r="J8" s="4"/>
    </row>
    <row r="9" spans="1:10" x14ac:dyDescent="0.35">
      <c r="A9">
        <v>8</v>
      </c>
      <c r="B9" t="s">
        <v>193</v>
      </c>
      <c r="C9" s="7" t="str">
        <f>SUBSTITUTE(B9, "'", "''")</f>
        <v>Children''s Catalog Mail Order</v>
      </c>
      <c r="D9" s="4" t="str">
        <f t="shared" si="1"/>
        <v>insert into ordersource values (8, 'Children''s Catalog Mail Order');</v>
      </c>
      <c r="E9" s="4"/>
      <c r="F9" s="4"/>
      <c r="G9" s="4"/>
      <c r="H9" s="4"/>
      <c r="I9" s="4"/>
      <c r="J9" s="4"/>
    </row>
    <row r="14" spans="1:10" x14ac:dyDescent="0.35">
      <c r="C14" s="6" t="s">
        <v>24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selection activeCell="F2" sqref="F2"/>
    </sheetView>
  </sheetViews>
  <sheetFormatPr defaultRowHeight="14.5" x14ac:dyDescent="0.35"/>
  <cols>
    <col min="2" max="2" width="10.7265625" bestFit="1" customWidth="1"/>
    <col min="3" max="3" width="11.453125" bestFit="1" customWidth="1"/>
  </cols>
  <sheetData>
    <row r="1" spans="1:11" x14ac:dyDescent="0.35">
      <c r="A1" s="13" t="s">
        <v>194</v>
      </c>
      <c r="B1" s="13" t="s">
        <v>195</v>
      </c>
      <c r="C1" s="13" t="s">
        <v>196</v>
      </c>
      <c r="D1" s="13" t="s">
        <v>26</v>
      </c>
      <c r="E1" s="13" t="s">
        <v>184</v>
      </c>
    </row>
    <row r="2" spans="1:11" x14ac:dyDescent="0.35">
      <c r="A2" s="3">
        <v>1</v>
      </c>
      <c r="B2" s="3">
        <v>45426</v>
      </c>
      <c r="C2" s="3" t="s">
        <v>197</v>
      </c>
      <c r="D2" s="3">
        <v>8</v>
      </c>
      <c r="E2" s="3">
        <v>5</v>
      </c>
      <c r="F2" s="4" t="str">
        <f>"insert into orders values ("&amp;A2&amp;", '"&amp;YEAR(B2)&amp;"/"&amp;MONTH(B2)&amp;"/"&amp;DAY(B2)&amp;"', '"&amp;C2&amp;"', "&amp;D2&amp;", "&amp;E2&amp;");"</f>
        <v>insert into orders values (1, '2024/5/14', 'VISA', 8, 5);</v>
      </c>
      <c r="G2" s="4"/>
      <c r="H2" s="4"/>
      <c r="I2" s="4"/>
      <c r="J2" s="4"/>
      <c r="K2" s="4"/>
    </row>
    <row r="3" spans="1:11" x14ac:dyDescent="0.35">
      <c r="A3" s="3">
        <v>2</v>
      </c>
      <c r="B3" s="3">
        <v>45754</v>
      </c>
      <c r="C3" s="3" t="s">
        <v>198</v>
      </c>
      <c r="D3" s="3">
        <v>9</v>
      </c>
      <c r="E3" s="3">
        <v>5</v>
      </c>
      <c r="F3" s="4" t="str">
        <f t="shared" ref="F3:F21" si="0">"insert into orders values ("&amp;A3&amp;", '"&amp;YEAR(B3)&amp;"/"&amp;MONTH(B3)&amp;"/"&amp;DAY(B3)&amp;"', '"&amp;C3&amp;"', "&amp;D3&amp;", "&amp;E3&amp;");"</f>
        <v>insert into orders values (2, '2025/4/7', 'Paypal', 9, 5);</v>
      </c>
      <c r="G3" s="4"/>
      <c r="H3" s="4"/>
      <c r="I3" s="4"/>
      <c r="J3" s="4"/>
      <c r="K3" s="4"/>
    </row>
    <row r="4" spans="1:11" x14ac:dyDescent="0.35">
      <c r="A4" s="3">
        <v>3</v>
      </c>
      <c r="B4" s="3">
        <v>45752</v>
      </c>
      <c r="C4" s="3" t="s">
        <v>199</v>
      </c>
      <c r="D4" s="3">
        <v>8</v>
      </c>
      <c r="E4" s="3">
        <v>5</v>
      </c>
      <c r="F4" s="4" t="str">
        <f t="shared" si="0"/>
        <v>insert into orders values (3, '2025/4/5', 'Checking', 8, 5);</v>
      </c>
      <c r="G4" s="4"/>
      <c r="H4" s="4"/>
      <c r="I4" s="4"/>
      <c r="J4" s="4"/>
      <c r="K4" s="4"/>
    </row>
    <row r="5" spans="1:11" x14ac:dyDescent="0.35">
      <c r="A5" s="3">
        <v>4</v>
      </c>
      <c r="B5" s="3">
        <v>45882</v>
      </c>
      <c r="C5" s="3" t="s">
        <v>199</v>
      </c>
      <c r="D5" s="3">
        <v>6</v>
      </c>
      <c r="E5" s="3">
        <v>4</v>
      </c>
      <c r="F5" s="4" t="str">
        <f t="shared" si="0"/>
        <v>insert into orders values (4, '2025/8/13', 'Checking', 6, 4);</v>
      </c>
      <c r="G5" s="4"/>
      <c r="H5" s="4"/>
      <c r="I5" s="4"/>
      <c r="J5" s="4"/>
      <c r="K5" s="4"/>
    </row>
    <row r="6" spans="1:11" x14ac:dyDescent="0.35">
      <c r="A6" s="3">
        <v>5</v>
      </c>
      <c r="B6" s="3">
        <v>45747</v>
      </c>
      <c r="C6" s="3" t="s">
        <v>198</v>
      </c>
      <c r="D6" s="3">
        <v>3</v>
      </c>
      <c r="E6" s="3">
        <v>2</v>
      </c>
      <c r="F6" s="4" t="str">
        <f t="shared" si="0"/>
        <v>insert into orders values (5, '2025/3/31', 'Paypal', 3, 2);</v>
      </c>
      <c r="G6" s="4"/>
      <c r="H6" s="4"/>
      <c r="I6" s="4"/>
      <c r="J6" s="4"/>
      <c r="K6" s="4"/>
    </row>
    <row r="7" spans="1:11" x14ac:dyDescent="0.35">
      <c r="A7" s="3">
        <v>6</v>
      </c>
      <c r="B7" s="3">
        <v>45694</v>
      </c>
      <c r="C7" s="3" t="s">
        <v>198</v>
      </c>
      <c r="D7" s="3">
        <v>6</v>
      </c>
      <c r="E7" s="3">
        <v>4</v>
      </c>
      <c r="F7" s="4" t="str">
        <f t="shared" si="0"/>
        <v>insert into orders values (6, '2025/2/6', 'Paypal', 6, 4);</v>
      </c>
      <c r="G7" s="4"/>
      <c r="H7" s="4"/>
      <c r="I7" s="4"/>
      <c r="J7" s="4"/>
      <c r="K7" s="4"/>
    </row>
    <row r="8" spans="1:11" x14ac:dyDescent="0.35">
      <c r="A8" s="3">
        <v>7</v>
      </c>
      <c r="B8" s="3">
        <v>45483</v>
      </c>
      <c r="C8" s="3" t="s">
        <v>199</v>
      </c>
      <c r="D8" s="3">
        <v>10</v>
      </c>
      <c r="E8" s="3">
        <v>6</v>
      </c>
      <c r="F8" s="4" t="str">
        <f t="shared" si="0"/>
        <v>insert into orders values (7, '2024/7/10', 'Checking', 10, 6);</v>
      </c>
      <c r="G8" s="4"/>
      <c r="H8" s="4"/>
      <c r="I8" s="4"/>
      <c r="J8" s="4"/>
      <c r="K8" s="4"/>
    </row>
    <row r="9" spans="1:11" x14ac:dyDescent="0.35">
      <c r="A9" s="3">
        <v>8</v>
      </c>
      <c r="B9" s="3">
        <v>45300</v>
      </c>
      <c r="C9" s="3" t="s">
        <v>200</v>
      </c>
      <c r="D9" s="3">
        <v>5</v>
      </c>
      <c r="E9" s="3">
        <v>3</v>
      </c>
      <c r="F9" s="4" t="str">
        <f t="shared" si="0"/>
        <v>insert into orders values (8, '2024/1/9', 'AmEx', 5, 3);</v>
      </c>
      <c r="G9" s="4"/>
      <c r="H9" s="4"/>
      <c r="I9" s="4"/>
      <c r="J9" s="4"/>
      <c r="K9" s="4"/>
    </row>
    <row r="10" spans="1:11" x14ac:dyDescent="0.35">
      <c r="A10" s="3">
        <v>9</v>
      </c>
      <c r="B10" s="3">
        <v>45687</v>
      </c>
      <c r="C10" s="3" t="s">
        <v>198</v>
      </c>
      <c r="D10" s="3">
        <v>10</v>
      </c>
      <c r="E10" s="3">
        <v>6</v>
      </c>
      <c r="F10" s="4" t="str">
        <f t="shared" si="0"/>
        <v>insert into orders values (9, '2025/1/30', 'Paypal', 10, 6);</v>
      </c>
      <c r="G10" s="4"/>
      <c r="H10" s="4"/>
      <c r="I10" s="4"/>
      <c r="J10" s="4"/>
      <c r="K10" s="4"/>
    </row>
    <row r="11" spans="1:11" x14ac:dyDescent="0.35">
      <c r="A11" s="3">
        <v>10</v>
      </c>
      <c r="B11" s="3">
        <v>45727</v>
      </c>
      <c r="C11" s="3" t="s">
        <v>200</v>
      </c>
      <c r="D11" s="3">
        <v>3</v>
      </c>
      <c r="E11" s="3">
        <v>2</v>
      </c>
      <c r="F11" s="4" t="str">
        <f t="shared" si="0"/>
        <v>insert into orders values (10, '2025/3/11', 'AmEx', 3, 2);</v>
      </c>
      <c r="G11" s="4"/>
      <c r="H11" s="4"/>
      <c r="I11" s="4"/>
      <c r="J11" s="4"/>
      <c r="K11" s="4"/>
    </row>
    <row r="12" spans="1:11" x14ac:dyDescent="0.35">
      <c r="A12" s="3">
        <v>11</v>
      </c>
      <c r="B12" s="3">
        <v>45760</v>
      </c>
      <c r="C12" s="3" t="s">
        <v>199</v>
      </c>
      <c r="D12" s="3">
        <v>3</v>
      </c>
      <c r="E12" s="3">
        <v>2</v>
      </c>
      <c r="F12" s="4" t="str">
        <f t="shared" si="0"/>
        <v>insert into orders values (11, '2025/4/13', 'Checking', 3, 2);</v>
      </c>
      <c r="G12" s="4"/>
      <c r="H12" s="4"/>
      <c r="I12" s="4"/>
      <c r="J12" s="4"/>
      <c r="K12" s="4"/>
    </row>
    <row r="13" spans="1:11" x14ac:dyDescent="0.35">
      <c r="A13" s="3">
        <v>12</v>
      </c>
      <c r="B13" s="3">
        <v>45482</v>
      </c>
      <c r="C13" s="3" t="s">
        <v>201</v>
      </c>
      <c r="D13" s="3">
        <v>5</v>
      </c>
      <c r="E13" s="3">
        <v>3</v>
      </c>
      <c r="F13" s="4" t="str">
        <f t="shared" si="0"/>
        <v>insert into orders values (12, '2024/7/9', 'Mastercard', 5, 3);</v>
      </c>
      <c r="G13" s="4"/>
      <c r="H13" s="4"/>
      <c r="I13" s="4"/>
      <c r="J13" s="4"/>
      <c r="K13" s="4"/>
    </row>
    <row r="14" spans="1:11" x14ac:dyDescent="0.35">
      <c r="A14" s="3">
        <v>13</v>
      </c>
      <c r="B14" s="3">
        <v>45805</v>
      </c>
      <c r="C14" s="3" t="s">
        <v>198</v>
      </c>
      <c r="D14" s="3">
        <v>7</v>
      </c>
      <c r="E14" s="3">
        <v>4</v>
      </c>
      <c r="F14" s="4" t="str">
        <f t="shared" si="0"/>
        <v>insert into orders values (13, '2025/5/28', 'Paypal', 7, 4);</v>
      </c>
      <c r="G14" s="4"/>
      <c r="H14" s="4"/>
      <c r="I14" s="4"/>
      <c r="J14" s="4"/>
      <c r="K14" s="4"/>
    </row>
    <row r="15" spans="1:11" x14ac:dyDescent="0.35">
      <c r="A15" s="3">
        <v>14</v>
      </c>
      <c r="B15" s="3">
        <v>45849</v>
      </c>
      <c r="C15" s="3" t="s">
        <v>201</v>
      </c>
      <c r="D15" s="3">
        <v>5</v>
      </c>
      <c r="E15" s="3">
        <v>3</v>
      </c>
      <c r="F15" s="4" t="str">
        <f t="shared" si="0"/>
        <v>insert into orders values (14, '2025/7/11', 'Mastercard', 5, 3);</v>
      </c>
      <c r="G15" s="4"/>
      <c r="H15" s="4"/>
      <c r="I15" s="4"/>
      <c r="J15" s="4"/>
      <c r="K15" s="4"/>
    </row>
    <row r="16" spans="1:11" x14ac:dyDescent="0.35">
      <c r="A16" s="3">
        <v>15</v>
      </c>
      <c r="B16" s="3">
        <v>45794</v>
      </c>
      <c r="C16" s="3" t="s">
        <v>201</v>
      </c>
      <c r="D16" s="3">
        <v>10</v>
      </c>
      <c r="E16" s="3">
        <v>6</v>
      </c>
      <c r="F16" s="4" t="str">
        <f t="shared" si="0"/>
        <v>insert into orders values (15, '2025/5/17', 'Mastercard', 10, 6);</v>
      </c>
      <c r="G16" s="4"/>
      <c r="H16" s="4"/>
      <c r="I16" s="4"/>
      <c r="J16" s="4"/>
      <c r="K16" s="4"/>
    </row>
    <row r="17" spans="1:11" x14ac:dyDescent="0.35">
      <c r="A17" s="3">
        <v>16</v>
      </c>
      <c r="B17" s="3">
        <v>45376</v>
      </c>
      <c r="C17" s="3" t="s">
        <v>199</v>
      </c>
      <c r="D17" s="3">
        <v>1</v>
      </c>
      <c r="E17" s="3">
        <v>1</v>
      </c>
      <c r="F17" s="4" t="str">
        <f t="shared" si="0"/>
        <v>insert into orders values (16, '2024/3/25', 'Checking', 1, 1);</v>
      </c>
      <c r="G17" s="4"/>
      <c r="H17" s="4"/>
      <c r="I17" s="4"/>
      <c r="J17" s="4"/>
      <c r="K17" s="4"/>
    </row>
    <row r="18" spans="1:11" x14ac:dyDescent="0.35">
      <c r="A18" s="3">
        <v>17</v>
      </c>
      <c r="B18" s="3">
        <v>45862</v>
      </c>
      <c r="C18" s="3" t="s">
        <v>199</v>
      </c>
      <c r="D18" s="3">
        <v>9</v>
      </c>
      <c r="E18" s="3">
        <v>6</v>
      </c>
      <c r="F18" s="4" t="str">
        <f t="shared" si="0"/>
        <v>insert into orders values (17, '2025/7/24', 'Checking', 9, 6);</v>
      </c>
      <c r="G18" s="4"/>
      <c r="H18" s="4"/>
      <c r="I18" s="4"/>
      <c r="J18" s="4"/>
      <c r="K18" s="4"/>
    </row>
    <row r="19" spans="1:11" x14ac:dyDescent="0.35">
      <c r="A19" s="3">
        <v>18</v>
      </c>
      <c r="B19" s="3">
        <v>45514</v>
      </c>
      <c r="C19" s="3" t="s">
        <v>198</v>
      </c>
      <c r="D19" s="3">
        <v>10</v>
      </c>
      <c r="E19" s="3">
        <v>6</v>
      </c>
      <c r="F19" s="4" t="str">
        <f t="shared" si="0"/>
        <v>insert into orders values (18, '2024/8/10', 'Paypal', 10, 6);</v>
      </c>
      <c r="G19" s="4"/>
      <c r="H19" s="4"/>
      <c r="I19" s="4"/>
      <c r="J19" s="4"/>
      <c r="K19" s="4"/>
    </row>
    <row r="20" spans="1:11" x14ac:dyDescent="0.35">
      <c r="A20" s="3">
        <v>19</v>
      </c>
      <c r="B20" s="3">
        <v>45808</v>
      </c>
      <c r="C20" s="3" t="s">
        <v>201</v>
      </c>
      <c r="D20" s="3">
        <v>7</v>
      </c>
      <c r="E20" s="3">
        <v>5</v>
      </c>
      <c r="F20" s="4" t="str">
        <f t="shared" si="0"/>
        <v>insert into orders values (19, '2025/5/31', 'Mastercard', 7, 5);</v>
      </c>
      <c r="G20" s="4"/>
      <c r="H20" s="4"/>
      <c r="I20" s="4"/>
      <c r="J20" s="4"/>
      <c r="K20" s="4"/>
    </row>
    <row r="21" spans="1:11" x14ac:dyDescent="0.35">
      <c r="A21" s="3">
        <v>20</v>
      </c>
      <c r="B21" s="3">
        <v>45676</v>
      </c>
      <c r="C21" s="3" t="s">
        <v>197</v>
      </c>
      <c r="D21" s="3">
        <v>4</v>
      </c>
      <c r="E21" s="3">
        <v>2</v>
      </c>
      <c r="F21" s="4" t="str">
        <f t="shared" si="0"/>
        <v>insert into orders values (20, '2025/1/19', 'VISA', 4, 2);</v>
      </c>
      <c r="G21" s="4"/>
      <c r="H21" s="4"/>
      <c r="I21" s="4"/>
      <c r="J21" s="4"/>
      <c r="K21" s="4"/>
    </row>
    <row r="24" spans="1:11" x14ac:dyDescent="0.35">
      <c r="C24" s="3" t="s">
        <v>212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topLeftCell="A16" zoomScaleNormal="100" workbookViewId="0">
      <selection activeCell="D52" sqref="D52"/>
    </sheetView>
  </sheetViews>
  <sheetFormatPr defaultRowHeight="14.5" x14ac:dyDescent="0.35"/>
  <cols>
    <col min="1" max="1" width="4.81640625" bestFit="1" customWidth="1"/>
    <col min="2" max="2" width="6.453125" bestFit="1" customWidth="1"/>
    <col min="3" max="3" width="11.1796875" bestFit="1" customWidth="1"/>
  </cols>
  <sheetData>
    <row r="1" spans="1:7" x14ac:dyDescent="0.35">
      <c r="A1" s="13" t="s">
        <v>194</v>
      </c>
      <c r="B1" s="13" t="s">
        <v>140</v>
      </c>
      <c r="C1" s="13" t="s">
        <v>202</v>
      </c>
    </row>
    <row r="2" spans="1:7" x14ac:dyDescent="0.35">
      <c r="A2" s="3">
        <v>1</v>
      </c>
      <c r="B2" s="3">
        <v>1</v>
      </c>
      <c r="C2" s="3">
        <v>7</v>
      </c>
      <c r="D2" s="4" t="str">
        <f>"insert into orderline values ("&amp;A2&amp;", "&amp;B2&amp;", "&amp;C2&amp;");"</f>
        <v>insert into orderline values (1, 1, 7);</v>
      </c>
      <c r="E2" s="4"/>
      <c r="F2" s="4"/>
      <c r="G2" s="4"/>
    </row>
    <row r="3" spans="1:7" x14ac:dyDescent="0.35">
      <c r="A3" s="3">
        <v>1</v>
      </c>
      <c r="B3" s="3">
        <v>16</v>
      </c>
      <c r="C3" s="3">
        <v>21</v>
      </c>
      <c r="D3" s="4" t="str">
        <f t="shared" ref="D3:D51" si="0">"insert into orderline values ("&amp;A3&amp;", "&amp;B3&amp;", "&amp;C3&amp;");"</f>
        <v>insert into orderline values (1, 16, 21);</v>
      </c>
      <c r="E3" s="4"/>
      <c r="F3" s="4"/>
      <c r="G3" s="4"/>
    </row>
    <row r="4" spans="1:7" x14ac:dyDescent="0.35">
      <c r="A4" s="3">
        <v>2</v>
      </c>
      <c r="B4" s="3">
        <v>2</v>
      </c>
      <c r="C4" s="3">
        <v>6</v>
      </c>
      <c r="D4" s="4" t="str">
        <f t="shared" si="0"/>
        <v>insert into orderline values (2, 2, 6);</v>
      </c>
      <c r="E4" s="4"/>
      <c r="F4" s="4"/>
      <c r="G4" s="4"/>
    </row>
    <row r="5" spans="1:7" x14ac:dyDescent="0.35">
      <c r="A5" s="3">
        <v>2</v>
      </c>
      <c r="B5" s="3">
        <v>15</v>
      </c>
      <c r="C5" s="3">
        <v>21</v>
      </c>
      <c r="D5" s="4" t="str">
        <f t="shared" si="0"/>
        <v>insert into orderline values (2, 15, 21);</v>
      </c>
      <c r="E5" s="4"/>
      <c r="F5" s="4"/>
      <c r="G5" s="4"/>
    </row>
    <row r="6" spans="1:7" x14ac:dyDescent="0.35">
      <c r="A6" s="3">
        <v>3</v>
      </c>
      <c r="B6" s="3">
        <v>3</v>
      </c>
      <c r="C6" s="3">
        <v>3</v>
      </c>
      <c r="D6" s="4" t="str">
        <f t="shared" si="0"/>
        <v>insert into orderline values (3, 3, 3);</v>
      </c>
      <c r="E6" s="4"/>
      <c r="F6" s="4"/>
      <c r="G6" s="4"/>
    </row>
    <row r="7" spans="1:7" x14ac:dyDescent="0.35">
      <c r="A7" s="3">
        <v>3</v>
      </c>
      <c r="B7" s="3">
        <v>9</v>
      </c>
      <c r="C7" s="3">
        <v>23</v>
      </c>
      <c r="D7" s="4" t="str">
        <f t="shared" si="0"/>
        <v>insert into orderline values (3, 9, 23);</v>
      </c>
      <c r="E7" s="4"/>
      <c r="F7" s="4"/>
      <c r="G7" s="4"/>
    </row>
    <row r="8" spans="1:7" x14ac:dyDescent="0.35">
      <c r="A8" s="3">
        <v>4</v>
      </c>
      <c r="B8" s="3">
        <v>4</v>
      </c>
      <c r="C8" s="3">
        <v>8</v>
      </c>
      <c r="D8" s="4" t="str">
        <f t="shared" si="0"/>
        <v>insert into orderline values (4, 4, 8);</v>
      </c>
      <c r="E8" s="4"/>
      <c r="F8" s="4"/>
      <c r="G8" s="4"/>
    </row>
    <row r="9" spans="1:7" x14ac:dyDescent="0.35">
      <c r="A9" s="3">
        <v>4</v>
      </c>
      <c r="B9" s="3">
        <v>11</v>
      </c>
      <c r="C9" s="3">
        <v>18</v>
      </c>
      <c r="D9" s="4" t="str">
        <f t="shared" si="0"/>
        <v>insert into orderline values (4, 11, 18);</v>
      </c>
      <c r="E9" s="4"/>
      <c r="F9" s="4"/>
      <c r="G9" s="4"/>
    </row>
    <row r="10" spans="1:7" x14ac:dyDescent="0.35">
      <c r="A10" s="3">
        <v>4</v>
      </c>
      <c r="B10" s="3">
        <v>19</v>
      </c>
      <c r="C10" s="3">
        <v>27</v>
      </c>
      <c r="D10" s="4" t="str">
        <f t="shared" si="0"/>
        <v>insert into orderline values (4, 19, 27);</v>
      </c>
      <c r="E10" s="4"/>
      <c r="F10" s="4"/>
      <c r="G10" s="4"/>
    </row>
    <row r="11" spans="1:7" x14ac:dyDescent="0.35">
      <c r="A11" s="3">
        <v>5</v>
      </c>
      <c r="B11" s="3">
        <v>3</v>
      </c>
      <c r="C11" s="3">
        <v>10</v>
      </c>
      <c r="D11" s="4" t="str">
        <f t="shared" si="0"/>
        <v>insert into orderline values (5, 3, 10);</v>
      </c>
      <c r="E11" s="4"/>
      <c r="F11" s="4"/>
      <c r="G11" s="4"/>
    </row>
    <row r="12" spans="1:7" x14ac:dyDescent="0.35">
      <c r="A12" s="3">
        <v>5</v>
      </c>
      <c r="B12" s="3">
        <v>5</v>
      </c>
      <c r="C12" s="3">
        <v>20</v>
      </c>
      <c r="D12" s="4" t="str">
        <f t="shared" si="0"/>
        <v>insert into orderline values (5, 5, 20);</v>
      </c>
      <c r="E12" s="4"/>
      <c r="F12" s="4"/>
      <c r="G12" s="4"/>
    </row>
    <row r="13" spans="1:7" x14ac:dyDescent="0.35">
      <c r="A13" s="3">
        <v>5</v>
      </c>
      <c r="B13" s="3">
        <v>9</v>
      </c>
      <c r="C13" s="3">
        <v>2</v>
      </c>
      <c r="D13" s="4" t="str">
        <f t="shared" si="0"/>
        <v>insert into orderline values (5, 9, 2);</v>
      </c>
      <c r="E13" s="4"/>
      <c r="F13" s="4"/>
      <c r="G13" s="4"/>
    </row>
    <row r="14" spans="1:7" x14ac:dyDescent="0.35">
      <c r="A14" s="3">
        <v>6</v>
      </c>
      <c r="B14" s="3">
        <v>2</v>
      </c>
      <c r="C14" s="3">
        <v>10</v>
      </c>
      <c r="D14" s="4" t="str">
        <f t="shared" si="0"/>
        <v>insert into orderline values (6, 2, 10);</v>
      </c>
      <c r="E14" s="4"/>
      <c r="F14" s="4"/>
      <c r="G14" s="4"/>
    </row>
    <row r="15" spans="1:7" x14ac:dyDescent="0.35">
      <c r="A15" s="3">
        <v>6</v>
      </c>
      <c r="B15" s="3">
        <v>6</v>
      </c>
      <c r="C15" s="3">
        <v>10</v>
      </c>
      <c r="D15" s="4" t="str">
        <f t="shared" si="0"/>
        <v>insert into orderline values (6, 6, 10);</v>
      </c>
      <c r="E15" s="4"/>
      <c r="F15" s="4"/>
      <c r="G15" s="4"/>
    </row>
    <row r="16" spans="1:7" x14ac:dyDescent="0.35">
      <c r="A16" s="3">
        <v>7</v>
      </c>
      <c r="B16" s="3">
        <v>5</v>
      </c>
      <c r="C16" s="3">
        <v>21</v>
      </c>
      <c r="D16" s="4" t="str">
        <f t="shared" si="0"/>
        <v>insert into orderline values (7, 5, 21);</v>
      </c>
      <c r="E16" s="4"/>
      <c r="F16" s="4"/>
      <c r="G16" s="4"/>
    </row>
    <row r="17" spans="1:7" x14ac:dyDescent="0.35">
      <c r="A17" s="3">
        <v>7</v>
      </c>
      <c r="B17" s="3">
        <v>7</v>
      </c>
      <c r="C17" s="3">
        <v>7</v>
      </c>
      <c r="D17" s="4" t="str">
        <f t="shared" si="0"/>
        <v>insert into orderline values (7, 7, 7);</v>
      </c>
      <c r="E17" s="4"/>
      <c r="F17" s="4"/>
      <c r="G17" s="4"/>
    </row>
    <row r="18" spans="1:7" x14ac:dyDescent="0.35">
      <c r="A18" s="3">
        <v>7</v>
      </c>
      <c r="B18" s="3">
        <v>20</v>
      </c>
      <c r="C18" s="3">
        <v>21</v>
      </c>
      <c r="D18" s="4" t="str">
        <f t="shared" si="0"/>
        <v>insert into orderline values (7, 20, 21);</v>
      </c>
      <c r="E18" s="4"/>
      <c r="F18" s="4"/>
      <c r="G18" s="4"/>
    </row>
    <row r="19" spans="1:7" x14ac:dyDescent="0.35">
      <c r="A19" s="3">
        <v>8</v>
      </c>
      <c r="B19" s="3">
        <v>8</v>
      </c>
      <c r="C19" s="3">
        <v>21</v>
      </c>
      <c r="D19" s="4" t="str">
        <f t="shared" si="0"/>
        <v>insert into orderline values (8, 8, 21);</v>
      </c>
      <c r="E19" s="4"/>
      <c r="F19" s="4"/>
      <c r="G19" s="4"/>
    </row>
    <row r="20" spans="1:7" x14ac:dyDescent="0.35">
      <c r="A20" s="3">
        <v>8</v>
      </c>
      <c r="B20" s="3">
        <v>18</v>
      </c>
      <c r="C20" s="3">
        <v>12</v>
      </c>
      <c r="D20" s="4" t="str">
        <f t="shared" si="0"/>
        <v>insert into orderline values (8, 18, 12);</v>
      </c>
      <c r="E20" s="4"/>
      <c r="F20" s="4"/>
      <c r="G20" s="4"/>
    </row>
    <row r="21" spans="1:7" x14ac:dyDescent="0.35">
      <c r="A21" s="3">
        <v>9</v>
      </c>
      <c r="B21" s="3">
        <v>9</v>
      </c>
      <c r="C21" s="3">
        <v>16</v>
      </c>
      <c r="D21" s="4" t="str">
        <f t="shared" si="0"/>
        <v>insert into orderline values (9, 9, 16);</v>
      </c>
      <c r="E21" s="4"/>
      <c r="F21" s="4"/>
      <c r="G21" s="4"/>
    </row>
    <row r="22" spans="1:7" x14ac:dyDescent="0.35">
      <c r="A22" s="3">
        <v>9</v>
      </c>
      <c r="B22" s="3">
        <v>13</v>
      </c>
      <c r="C22" s="3">
        <v>11</v>
      </c>
      <c r="D22" s="4" t="str">
        <f t="shared" si="0"/>
        <v>insert into orderline values (9, 13, 11);</v>
      </c>
      <c r="E22" s="4"/>
      <c r="F22" s="4"/>
      <c r="G22" s="4"/>
    </row>
    <row r="23" spans="1:7" x14ac:dyDescent="0.35">
      <c r="A23" s="3">
        <v>10</v>
      </c>
      <c r="B23" s="3">
        <v>4</v>
      </c>
      <c r="C23" s="3">
        <v>1</v>
      </c>
      <c r="D23" s="4" t="str">
        <f t="shared" si="0"/>
        <v>insert into orderline values (10, 4, 1);</v>
      </c>
      <c r="E23" s="4"/>
      <c r="F23" s="4"/>
      <c r="G23" s="4"/>
    </row>
    <row r="24" spans="1:7" x14ac:dyDescent="0.35">
      <c r="A24" s="3">
        <v>10</v>
      </c>
      <c r="B24" s="3">
        <v>10</v>
      </c>
      <c r="C24" s="3">
        <v>18</v>
      </c>
      <c r="D24" s="4" t="str">
        <f t="shared" si="0"/>
        <v>insert into orderline values (10, 10, 18);</v>
      </c>
      <c r="E24" s="4"/>
      <c r="F24" s="4"/>
      <c r="G24" s="4"/>
    </row>
    <row r="25" spans="1:7" x14ac:dyDescent="0.35">
      <c r="A25" s="3">
        <v>10</v>
      </c>
      <c r="B25" s="3">
        <v>11</v>
      </c>
      <c r="C25" s="3">
        <v>24</v>
      </c>
      <c r="D25" s="4" t="str">
        <f t="shared" si="0"/>
        <v>insert into orderline values (10, 11, 24);</v>
      </c>
      <c r="E25" s="4"/>
      <c r="F25" s="4"/>
      <c r="G25" s="4"/>
    </row>
    <row r="26" spans="1:7" x14ac:dyDescent="0.35">
      <c r="A26" s="3">
        <v>11</v>
      </c>
      <c r="B26" s="3">
        <v>7</v>
      </c>
      <c r="C26" s="3">
        <v>17</v>
      </c>
      <c r="D26" s="4" t="str">
        <f t="shared" si="0"/>
        <v>insert into orderline values (11, 7, 17);</v>
      </c>
      <c r="E26" s="4"/>
      <c r="F26" s="4"/>
      <c r="G26" s="4"/>
    </row>
    <row r="27" spans="1:7" x14ac:dyDescent="0.35">
      <c r="A27" s="3">
        <v>11</v>
      </c>
      <c r="B27" s="3">
        <v>11</v>
      </c>
      <c r="C27" s="3">
        <v>24</v>
      </c>
      <c r="D27" s="4" t="str">
        <f t="shared" si="0"/>
        <v>insert into orderline values (11, 11, 24);</v>
      </c>
      <c r="E27" s="4"/>
      <c r="F27" s="4"/>
      <c r="G27" s="4"/>
    </row>
    <row r="28" spans="1:7" x14ac:dyDescent="0.35">
      <c r="A28" s="3">
        <v>11</v>
      </c>
      <c r="B28" s="3">
        <v>19</v>
      </c>
      <c r="C28" s="3">
        <v>8</v>
      </c>
      <c r="D28" s="4" t="str">
        <f t="shared" si="0"/>
        <v>insert into orderline values (11, 19, 8);</v>
      </c>
      <c r="E28" s="4"/>
      <c r="F28" s="4"/>
      <c r="G28" s="4"/>
    </row>
    <row r="29" spans="1:7" x14ac:dyDescent="0.35">
      <c r="A29" s="3">
        <v>12</v>
      </c>
      <c r="B29" s="3">
        <v>6</v>
      </c>
      <c r="C29" s="3">
        <v>11</v>
      </c>
      <c r="D29" s="4" t="str">
        <f t="shared" si="0"/>
        <v>insert into orderline values (12, 6, 11);</v>
      </c>
      <c r="E29" s="4"/>
      <c r="F29" s="4"/>
      <c r="G29" s="4"/>
    </row>
    <row r="30" spans="1:7" x14ac:dyDescent="0.35">
      <c r="A30" s="3">
        <v>12</v>
      </c>
      <c r="B30" s="3">
        <v>12</v>
      </c>
      <c r="C30" s="3">
        <v>1</v>
      </c>
      <c r="D30" s="4" t="str">
        <f t="shared" si="0"/>
        <v>insert into orderline values (12, 12, 1);</v>
      </c>
      <c r="E30" s="4"/>
      <c r="F30" s="4"/>
      <c r="G30" s="4"/>
    </row>
    <row r="31" spans="1:7" x14ac:dyDescent="0.35">
      <c r="A31" s="3">
        <v>13</v>
      </c>
      <c r="B31" s="3">
        <v>8</v>
      </c>
      <c r="C31" s="3">
        <v>18</v>
      </c>
      <c r="D31" s="4" t="str">
        <f t="shared" si="0"/>
        <v>insert into orderline values (13, 8, 18);</v>
      </c>
      <c r="E31" s="4"/>
      <c r="F31" s="4"/>
      <c r="G31" s="4"/>
    </row>
    <row r="32" spans="1:7" x14ac:dyDescent="0.35">
      <c r="A32" s="3">
        <v>13</v>
      </c>
      <c r="B32" s="3">
        <v>13</v>
      </c>
      <c r="C32" s="3">
        <v>3</v>
      </c>
      <c r="D32" s="4" t="str">
        <f t="shared" si="0"/>
        <v>insert into orderline values (13, 13, 3);</v>
      </c>
      <c r="E32" s="4"/>
      <c r="F32" s="4"/>
      <c r="G32" s="4"/>
    </row>
    <row r="33" spans="1:7" x14ac:dyDescent="0.35">
      <c r="A33" s="3">
        <v>14</v>
      </c>
      <c r="B33" s="3">
        <v>4</v>
      </c>
      <c r="C33" s="3">
        <v>3</v>
      </c>
      <c r="D33" s="4" t="str">
        <f t="shared" si="0"/>
        <v>insert into orderline values (14, 4, 3);</v>
      </c>
      <c r="E33" s="4"/>
      <c r="F33" s="4"/>
      <c r="G33" s="4"/>
    </row>
    <row r="34" spans="1:7" x14ac:dyDescent="0.35">
      <c r="A34" s="3">
        <v>14</v>
      </c>
      <c r="B34" s="3">
        <v>10</v>
      </c>
      <c r="C34" s="3">
        <v>14</v>
      </c>
      <c r="D34" s="4" t="str">
        <f t="shared" si="0"/>
        <v>insert into orderline values (14, 10, 14);</v>
      </c>
      <c r="E34" s="4"/>
      <c r="F34" s="4"/>
      <c r="G34" s="4"/>
    </row>
    <row r="35" spans="1:7" x14ac:dyDescent="0.35">
      <c r="A35" s="3">
        <v>14</v>
      </c>
      <c r="B35" s="3">
        <v>14</v>
      </c>
      <c r="C35" s="3">
        <v>9</v>
      </c>
      <c r="D35" s="4" t="str">
        <f t="shared" si="0"/>
        <v>insert into orderline values (14, 14, 9);</v>
      </c>
      <c r="E35" s="4"/>
      <c r="F35" s="4"/>
      <c r="G35" s="4"/>
    </row>
    <row r="36" spans="1:7" x14ac:dyDescent="0.35">
      <c r="A36" s="3">
        <v>15</v>
      </c>
      <c r="B36" s="3">
        <v>14</v>
      </c>
      <c r="C36" s="3">
        <v>27</v>
      </c>
      <c r="D36" s="4" t="str">
        <f t="shared" si="0"/>
        <v>insert into orderline values (15, 14, 27);</v>
      </c>
      <c r="E36" s="4"/>
      <c r="F36" s="4"/>
      <c r="G36" s="4"/>
    </row>
    <row r="37" spans="1:7" x14ac:dyDescent="0.35">
      <c r="A37" s="3">
        <v>15</v>
      </c>
      <c r="B37" s="3">
        <v>15</v>
      </c>
      <c r="C37" s="3">
        <v>2</v>
      </c>
      <c r="D37" s="4" t="str">
        <f t="shared" si="0"/>
        <v>insert into orderline values (15, 15, 2);</v>
      </c>
      <c r="E37" s="4"/>
      <c r="F37" s="4"/>
      <c r="G37" s="4"/>
    </row>
    <row r="38" spans="1:7" x14ac:dyDescent="0.35">
      <c r="A38" s="3">
        <v>15</v>
      </c>
      <c r="B38" s="3">
        <v>17</v>
      </c>
      <c r="C38" s="3">
        <v>8</v>
      </c>
      <c r="D38" s="4" t="str">
        <f t="shared" si="0"/>
        <v>insert into orderline values (15, 17, 8);</v>
      </c>
      <c r="E38" s="4"/>
      <c r="F38" s="4"/>
      <c r="G38" s="4"/>
    </row>
    <row r="39" spans="1:7" x14ac:dyDescent="0.35">
      <c r="A39" s="3">
        <v>16</v>
      </c>
      <c r="B39" s="3">
        <v>12</v>
      </c>
      <c r="C39" s="3">
        <v>1</v>
      </c>
      <c r="D39" s="4" t="str">
        <f t="shared" si="0"/>
        <v>insert into orderline values (16, 12, 1);</v>
      </c>
      <c r="E39" s="4"/>
      <c r="F39" s="4"/>
      <c r="G39" s="4"/>
    </row>
    <row r="40" spans="1:7" x14ac:dyDescent="0.35">
      <c r="A40" s="3">
        <v>16</v>
      </c>
      <c r="B40" s="3">
        <v>16</v>
      </c>
      <c r="C40" s="3">
        <v>16</v>
      </c>
      <c r="D40" s="4" t="str">
        <f t="shared" si="0"/>
        <v>insert into orderline values (16, 16, 16);</v>
      </c>
      <c r="E40" s="4"/>
      <c r="F40" s="4"/>
      <c r="G40" s="4"/>
    </row>
    <row r="41" spans="1:7" x14ac:dyDescent="0.35">
      <c r="A41" s="3">
        <v>17</v>
      </c>
      <c r="B41" s="3">
        <v>10</v>
      </c>
      <c r="C41" s="3">
        <v>14</v>
      </c>
      <c r="D41" s="4" t="str">
        <f t="shared" si="0"/>
        <v>insert into orderline values (17, 10, 14);</v>
      </c>
      <c r="E41" s="4"/>
      <c r="F41" s="4"/>
      <c r="G41" s="4"/>
    </row>
    <row r="42" spans="1:7" x14ac:dyDescent="0.35">
      <c r="A42" s="3">
        <v>17</v>
      </c>
      <c r="B42" s="3">
        <v>14</v>
      </c>
      <c r="C42" s="3">
        <v>7</v>
      </c>
      <c r="D42" s="4" t="str">
        <f t="shared" si="0"/>
        <v>insert into orderline values (17, 14, 7);</v>
      </c>
      <c r="E42" s="4"/>
      <c r="F42" s="4"/>
      <c r="G42" s="4"/>
    </row>
    <row r="43" spans="1:7" x14ac:dyDescent="0.35">
      <c r="A43" s="3">
        <v>17</v>
      </c>
      <c r="B43" s="3">
        <v>17</v>
      </c>
      <c r="C43" s="3">
        <v>13</v>
      </c>
      <c r="D43" s="4" t="str">
        <f t="shared" si="0"/>
        <v>insert into orderline values (17, 17, 13);</v>
      </c>
      <c r="E43" s="4"/>
      <c r="F43" s="4"/>
      <c r="G43" s="4"/>
    </row>
    <row r="44" spans="1:7" x14ac:dyDescent="0.35">
      <c r="A44" s="3">
        <v>18</v>
      </c>
      <c r="B44" s="3">
        <v>1</v>
      </c>
      <c r="C44" s="3">
        <v>24</v>
      </c>
      <c r="D44" s="4" t="str">
        <f t="shared" si="0"/>
        <v>insert into orderline values (18, 1, 24);</v>
      </c>
      <c r="E44" s="4"/>
      <c r="F44" s="4"/>
      <c r="G44" s="4"/>
    </row>
    <row r="45" spans="1:7" x14ac:dyDescent="0.35">
      <c r="A45" s="3">
        <v>18</v>
      </c>
      <c r="B45" s="3">
        <v>18</v>
      </c>
      <c r="C45" s="3">
        <v>17</v>
      </c>
      <c r="D45" s="4" t="str">
        <f t="shared" si="0"/>
        <v>insert into orderline values (18, 18, 17);</v>
      </c>
      <c r="E45" s="4"/>
      <c r="F45" s="4"/>
      <c r="G45" s="4"/>
    </row>
    <row r="46" spans="1:7" x14ac:dyDescent="0.35">
      <c r="A46" s="3">
        <v>19</v>
      </c>
      <c r="B46" s="3">
        <v>7</v>
      </c>
      <c r="C46" s="3">
        <v>24</v>
      </c>
      <c r="D46" s="4" t="str">
        <f t="shared" si="0"/>
        <v>insert into orderline values (19, 7, 24);</v>
      </c>
      <c r="E46" s="4"/>
      <c r="F46" s="4"/>
      <c r="G46" s="4"/>
    </row>
    <row r="47" spans="1:7" x14ac:dyDescent="0.35">
      <c r="A47" s="3">
        <v>19</v>
      </c>
      <c r="B47" s="3">
        <v>19</v>
      </c>
      <c r="C47" s="3">
        <v>13</v>
      </c>
      <c r="D47" s="4" t="str">
        <f t="shared" si="0"/>
        <v>insert into orderline values (19, 19, 13);</v>
      </c>
      <c r="E47" s="4"/>
      <c r="F47" s="4"/>
      <c r="G47" s="4"/>
    </row>
    <row r="48" spans="1:7" x14ac:dyDescent="0.35">
      <c r="A48" s="3">
        <v>19</v>
      </c>
      <c r="B48" s="3">
        <v>20</v>
      </c>
      <c r="C48" s="3">
        <v>19</v>
      </c>
      <c r="D48" s="4" t="str">
        <f t="shared" si="0"/>
        <v>insert into orderline values (19, 20, 19);</v>
      </c>
      <c r="E48" s="4"/>
      <c r="F48" s="4"/>
      <c r="G48" s="4"/>
    </row>
    <row r="49" spans="1:7" x14ac:dyDescent="0.35">
      <c r="A49" s="3">
        <v>20</v>
      </c>
      <c r="B49" s="3">
        <v>3</v>
      </c>
      <c r="C49" s="3">
        <v>14</v>
      </c>
      <c r="D49" s="4" t="str">
        <f t="shared" si="0"/>
        <v>insert into orderline values (20, 3, 14);</v>
      </c>
      <c r="E49" s="4"/>
      <c r="F49" s="4"/>
      <c r="G49" s="4"/>
    </row>
    <row r="50" spans="1:7" x14ac:dyDescent="0.35">
      <c r="A50" s="3">
        <v>20</v>
      </c>
      <c r="B50" s="3">
        <v>5</v>
      </c>
      <c r="C50" s="3">
        <v>2</v>
      </c>
      <c r="D50" s="4" t="str">
        <f t="shared" si="0"/>
        <v>insert into orderline values (20, 5, 2);</v>
      </c>
      <c r="E50" s="4"/>
      <c r="F50" s="4"/>
      <c r="G50" s="4"/>
    </row>
    <row r="51" spans="1:7" x14ac:dyDescent="0.35">
      <c r="A51" s="3">
        <v>20</v>
      </c>
      <c r="B51" s="3">
        <v>20</v>
      </c>
      <c r="C51" s="3">
        <v>16</v>
      </c>
      <c r="D51" s="4" t="str">
        <f t="shared" si="0"/>
        <v>insert into orderline values (20, 20, 16);</v>
      </c>
      <c r="E51" s="4"/>
      <c r="F51" s="4"/>
      <c r="G51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abSelected="1" zoomScaleNormal="100" workbookViewId="0">
      <selection activeCell="F16" sqref="F16"/>
    </sheetView>
  </sheetViews>
  <sheetFormatPr defaultRowHeight="14.5" x14ac:dyDescent="0.35"/>
  <cols>
    <col min="2" max="2" width="10.7265625" bestFit="1" customWidth="1"/>
    <col min="5" max="5" width="52.54296875" customWidth="1"/>
    <col min="6" max="6" width="24.453125" customWidth="1"/>
    <col min="12" max="12" width="10.7265625" bestFit="1" customWidth="1"/>
  </cols>
  <sheetData>
    <row r="1" spans="1:9" x14ac:dyDescent="0.35">
      <c r="A1" s="13" t="s">
        <v>203</v>
      </c>
      <c r="B1" s="13" t="s">
        <v>204</v>
      </c>
      <c r="C1" s="13" t="s">
        <v>205</v>
      </c>
      <c r="D1" s="17"/>
    </row>
    <row r="2" spans="1:9" x14ac:dyDescent="0.35">
      <c r="A2">
        <v>1</v>
      </c>
      <c r="B2" s="3">
        <v>45576</v>
      </c>
      <c r="C2" s="3">
        <v>45325</v>
      </c>
      <c r="D2" s="7" t="str">
        <f>"insert into shipment values ("&amp;A2&amp;", "&amp;"'"&amp;YEAR(B2)&amp;"/"&amp;MONTH(B2)&amp;"/"&amp;DAY(B2)&amp;"', '"&amp;IF(C2="NULL",C2,YEAR(C2)&amp;"/"&amp;MONTH(C2)&amp;"/"&amp;DAY(C2))&amp;"');"</f>
        <v>insert into shipment values (1, '2024/10/11', '2024/2/3');</v>
      </c>
      <c r="F2" s="9" t="str">
        <f>SUBSTITUTE(D2,"'NULL'","NULL")</f>
        <v>insert into shipment values (1, '2024/10/11', '2024/2/3');</v>
      </c>
      <c r="G2" s="4"/>
      <c r="H2" s="4"/>
      <c r="I2" s="4"/>
    </row>
    <row r="3" spans="1:9" x14ac:dyDescent="0.35">
      <c r="A3">
        <v>2</v>
      </c>
      <c r="B3" s="3">
        <v>45516</v>
      </c>
      <c r="C3" s="3">
        <v>45428</v>
      </c>
      <c r="D3" s="7" t="str">
        <f t="shared" ref="D3:D16" si="0">"insert into shipment values ("&amp;A3&amp;", "&amp;"'"&amp;YEAR(B3)&amp;"/"&amp;MONTH(B3)&amp;"/"&amp;DAY(B3)&amp;"', '"&amp;IF(C3="NULL",C3,YEAR(C3)&amp;"/"&amp;MONTH(C3)&amp;"/"&amp;DAY(C3))&amp;"');"</f>
        <v>insert into shipment values (2, '2024/8/12', '2024/5/16');</v>
      </c>
      <c r="F3" s="9" t="str">
        <f t="shared" ref="F3:F16" si="1">SUBSTITUTE(D3,"'NULL'","NULL")</f>
        <v>insert into shipment values (2, '2024/8/12', '2024/5/16');</v>
      </c>
      <c r="G3" s="4"/>
      <c r="H3" s="4"/>
      <c r="I3" s="4"/>
    </row>
    <row r="4" spans="1:9" x14ac:dyDescent="0.35">
      <c r="A4">
        <v>3</v>
      </c>
      <c r="B4" s="3">
        <v>45760</v>
      </c>
      <c r="C4" s="3">
        <v>45483</v>
      </c>
      <c r="D4" s="7" t="str">
        <f t="shared" si="0"/>
        <v>insert into shipment values (3, '2025/4/13', '2024/7/10');</v>
      </c>
      <c r="F4" s="9" t="str">
        <f t="shared" si="1"/>
        <v>insert into shipment values (3, '2025/4/13', '2024/7/10');</v>
      </c>
      <c r="G4" s="4"/>
      <c r="H4" s="4"/>
      <c r="I4" s="4"/>
    </row>
    <row r="5" spans="1:9" x14ac:dyDescent="0.35">
      <c r="A5">
        <v>4</v>
      </c>
      <c r="B5" s="3">
        <v>45598</v>
      </c>
      <c r="C5" s="3">
        <v>45620</v>
      </c>
      <c r="D5" s="7" t="str">
        <f t="shared" si="0"/>
        <v>insert into shipment values (4, '2024/11/2', '2024/11/24');</v>
      </c>
      <c r="F5" s="9" t="str">
        <f t="shared" si="1"/>
        <v>insert into shipment values (4, '2024/11/2', '2024/11/24');</v>
      </c>
      <c r="G5" s="4"/>
      <c r="H5" s="4"/>
      <c r="I5" s="4"/>
    </row>
    <row r="6" spans="1:9" x14ac:dyDescent="0.35">
      <c r="A6">
        <v>5</v>
      </c>
      <c r="B6" s="3">
        <v>45434</v>
      </c>
      <c r="C6" s="3" t="s">
        <v>2</v>
      </c>
      <c r="D6" s="7" t="str">
        <f t="shared" si="0"/>
        <v>insert into shipment values (5, '2024/5/22', 'NULL');</v>
      </c>
      <c r="F6" s="9" t="str">
        <f t="shared" si="1"/>
        <v>insert into shipment values (5, '2024/5/22', NULL);</v>
      </c>
      <c r="G6" s="4"/>
      <c r="H6" s="4"/>
      <c r="I6" s="4"/>
    </row>
    <row r="7" spans="1:9" x14ac:dyDescent="0.35">
      <c r="A7">
        <v>6</v>
      </c>
      <c r="B7" s="3">
        <v>45869</v>
      </c>
      <c r="C7" s="3">
        <v>45588</v>
      </c>
      <c r="D7" s="7" t="str">
        <f t="shared" si="0"/>
        <v>insert into shipment values (6, '2025/7/31', '2024/10/23');</v>
      </c>
      <c r="F7" s="9" t="str">
        <f t="shared" si="1"/>
        <v>insert into shipment values (6, '2025/7/31', '2024/10/23');</v>
      </c>
      <c r="G7" s="4"/>
      <c r="H7" s="4"/>
      <c r="I7" s="4"/>
    </row>
    <row r="8" spans="1:9" x14ac:dyDescent="0.35">
      <c r="A8">
        <v>7</v>
      </c>
      <c r="B8" s="3">
        <v>45788</v>
      </c>
      <c r="C8" s="3">
        <v>45638</v>
      </c>
      <c r="D8" s="7" t="str">
        <f t="shared" si="0"/>
        <v>insert into shipment values (7, '2025/5/11', '2024/12/12');</v>
      </c>
      <c r="F8" s="9" t="str">
        <f t="shared" si="1"/>
        <v>insert into shipment values (7, '2025/5/11', '2024/12/12');</v>
      </c>
      <c r="G8" s="4"/>
      <c r="H8" s="4"/>
      <c r="I8" s="4"/>
    </row>
    <row r="9" spans="1:9" x14ac:dyDescent="0.35">
      <c r="A9">
        <v>8</v>
      </c>
      <c r="B9" s="3">
        <v>45793</v>
      </c>
      <c r="C9" s="3">
        <v>45769</v>
      </c>
      <c r="D9" s="7" t="str">
        <f t="shared" si="0"/>
        <v>insert into shipment values (8, '2025/5/16', '2025/4/22');</v>
      </c>
      <c r="F9" s="9" t="str">
        <f t="shared" si="1"/>
        <v>insert into shipment values (8, '2025/5/16', '2025/4/22');</v>
      </c>
      <c r="G9" s="4"/>
      <c r="H9" s="4"/>
      <c r="I9" s="4"/>
    </row>
    <row r="10" spans="1:9" x14ac:dyDescent="0.35">
      <c r="A10">
        <v>9</v>
      </c>
      <c r="B10" s="3">
        <v>45502</v>
      </c>
      <c r="C10" s="3">
        <v>45418</v>
      </c>
      <c r="D10" s="7" t="str">
        <f t="shared" si="0"/>
        <v>insert into shipment values (9, '2024/7/29', '2024/5/6');</v>
      </c>
      <c r="F10" s="9" t="str">
        <f t="shared" si="1"/>
        <v>insert into shipment values (9, '2024/7/29', '2024/5/6');</v>
      </c>
      <c r="G10" s="4"/>
      <c r="H10" s="4"/>
      <c r="I10" s="4"/>
    </row>
    <row r="11" spans="1:9" x14ac:dyDescent="0.35">
      <c r="A11">
        <v>10</v>
      </c>
      <c r="B11" s="3">
        <v>45872</v>
      </c>
      <c r="C11" s="3">
        <v>45590</v>
      </c>
      <c r="D11" s="7" t="str">
        <f t="shared" si="0"/>
        <v>insert into shipment values (10, '2025/8/3', '2024/10/25');</v>
      </c>
      <c r="F11" s="9" t="str">
        <f t="shared" si="1"/>
        <v>insert into shipment values (10, '2025/8/3', '2024/10/25');</v>
      </c>
      <c r="G11" s="4"/>
      <c r="H11" s="4"/>
      <c r="I11" s="4"/>
    </row>
    <row r="12" spans="1:9" x14ac:dyDescent="0.35">
      <c r="A12">
        <v>11</v>
      </c>
      <c r="B12" s="3">
        <v>45772</v>
      </c>
      <c r="C12" s="3" t="s">
        <v>2</v>
      </c>
      <c r="D12" s="7" t="str">
        <f t="shared" si="0"/>
        <v>insert into shipment values (11, '2025/4/25', 'NULL');</v>
      </c>
      <c r="F12" s="9" t="str">
        <f t="shared" si="1"/>
        <v>insert into shipment values (11, '2025/4/25', NULL);</v>
      </c>
      <c r="G12" s="4"/>
      <c r="H12" s="4"/>
      <c r="I12" s="4"/>
    </row>
    <row r="13" spans="1:9" x14ac:dyDescent="0.35">
      <c r="A13">
        <v>12</v>
      </c>
      <c r="B13" s="3">
        <v>45729</v>
      </c>
      <c r="C13" s="3">
        <v>45462</v>
      </c>
      <c r="D13" s="7" t="str">
        <f t="shared" si="0"/>
        <v>insert into shipment values (12, '2025/3/13', '2024/6/19');</v>
      </c>
      <c r="F13" s="9" t="str">
        <f t="shared" si="1"/>
        <v>insert into shipment values (12, '2025/3/13', '2024/6/19');</v>
      </c>
      <c r="G13" s="4"/>
      <c r="H13" s="4"/>
      <c r="I13" s="4"/>
    </row>
    <row r="14" spans="1:9" x14ac:dyDescent="0.35">
      <c r="A14">
        <v>13</v>
      </c>
      <c r="B14" s="3">
        <v>45355</v>
      </c>
      <c r="C14" s="3">
        <v>45809</v>
      </c>
      <c r="D14" s="7" t="str">
        <f t="shared" si="0"/>
        <v>insert into shipment values (13, '2024/3/4', '2025/6/1');</v>
      </c>
      <c r="F14" s="9" t="str">
        <f t="shared" si="1"/>
        <v>insert into shipment values (13, '2024/3/4', '2025/6/1');</v>
      </c>
      <c r="G14" s="4"/>
      <c r="H14" s="4"/>
      <c r="I14" s="4"/>
    </row>
    <row r="15" spans="1:9" x14ac:dyDescent="0.35">
      <c r="A15">
        <v>14</v>
      </c>
      <c r="B15" s="3">
        <v>45329</v>
      </c>
      <c r="C15" s="3">
        <v>45770</v>
      </c>
      <c r="D15" s="7" t="str">
        <f t="shared" si="0"/>
        <v>insert into shipment values (14, '2024/2/7', '2025/4/23');</v>
      </c>
      <c r="F15" s="9" t="str">
        <f t="shared" si="1"/>
        <v>insert into shipment values (14, '2024/2/7', '2025/4/23');</v>
      </c>
      <c r="G15" s="4"/>
      <c r="H15" s="4"/>
      <c r="I15" s="4"/>
    </row>
    <row r="16" spans="1:9" x14ac:dyDescent="0.35">
      <c r="A16">
        <v>15</v>
      </c>
      <c r="B16" s="3">
        <v>45796</v>
      </c>
      <c r="C16" s="3">
        <v>45415</v>
      </c>
      <c r="D16" s="7" t="str">
        <f t="shared" si="0"/>
        <v>insert into shipment values (15, '2025/5/19', '2024/5/3');</v>
      </c>
      <c r="F16" s="9" t="str">
        <f t="shared" si="1"/>
        <v>insert into shipment values (15, '2025/5/19', '2024/5/3');</v>
      </c>
      <c r="G16" s="4"/>
      <c r="H16" s="4"/>
      <c r="I16" s="4"/>
    </row>
    <row r="17" spans="4:10" x14ac:dyDescent="0.35">
      <c r="D17" s="17"/>
    </row>
    <row r="18" spans="4:10" x14ac:dyDescent="0.35">
      <c r="D18" s="17"/>
    </row>
    <row r="20" spans="4:10" x14ac:dyDescent="0.35">
      <c r="E20" s="6" t="s">
        <v>17</v>
      </c>
      <c r="F20" s="6"/>
      <c r="G20" s="6"/>
      <c r="H20" s="6"/>
      <c r="I20" s="6"/>
    </row>
    <row r="22" spans="4:10" x14ac:dyDescent="0.35">
      <c r="E22" s="7" t="s">
        <v>19</v>
      </c>
      <c r="F22" s="7" t="s">
        <v>18</v>
      </c>
      <c r="G22" s="7"/>
      <c r="H22" s="7"/>
      <c r="I22" s="7"/>
      <c r="J22" s="7"/>
    </row>
    <row r="23" spans="4:10" x14ac:dyDescent="0.35">
      <c r="E23" s="7" t="s">
        <v>20</v>
      </c>
      <c r="F23" s="7" t="s">
        <v>21</v>
      </c>
      <c r="G23" s="7"/>
      <c r="H23" s="7"/>
      <c r="I23" s="7"/>
      <c r="J23" s="7"/>
    </row>
    <row r="24" spans="4:10" x14ac:dyDescent="0.35">
      <c r="E24" s="7" t="s">
        <v>22</v>
      </c>
      <c r="F24" s="7"/>
      <c r="G24" s="7"/>
      <c r="H24" s="7"/>
      <c r="I24" s="7"/>
      <c r="J24" s="7"/>
    </row>
    <row r="25" spans="4:10" x14ac:dyDescent="0.35">
      <c r="E25" s="7" t="s">
        <v>23</v>
      </c>
      <c r="F25" s="7"/>
      <c r="G25" s="7"/>
      <c r="H25" s="7"/>
      <c r="I25" s="7"/>
      <c r="J25" s="7"/>
    </row>
    <row r="27" spans="4:10" x14ac:dyDescent="0.35">
      <c r="E27" s="19"/>
      <c r="F27" s="20"/>
    </row>
    <row r="32" spans="4:10" x14ac:dyDescent="0.35">
      <c r="D32" s="17"/>
    </row>
    <row r="33" spans="4:4" x14ac:dyDescent="0.35">
      <c r="D33" s="1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selection activeCell="E31" sqref="E31"/>
    </sheetView>
  </sheetViews>
  <sheetFormatPr defaultRowHeight="14.5" x14ac:dyDescent="0.35"/>
  <cols>
    <col min="3" max="3" width="17.54296875" bestFit="1" customWidth="1"/>
    <col min="4" max="4" width="17.81640625" bestFit="1" customWidth="1"/>
    <col min="5" max="5" width="52" bestFit="1" customWidth="1"/>
  </cols>
  <sheetData>
    <row r="1" spans="1:5" x14ac:dyDescent="0.35">
      <c r="A1" s="13" t="s">
        <v>203</v>
      </c>
      <c r="B1" s="13" t="s">
        <v>140</v>
      </c>
      <c r="C1" s="13" t="s">
        <v>206</v>
      </c>
      <c r="D1" s="13" t="s">
        <v>207</v>
      </c>
    </row>
    <row r="2" spans="1:5" x14ac:dyDescent="0.35">
      <c r="A2" s="3">
        <v>1</v>
      </c>
      <c r="B2" s="3">
        <v>8</v>
      </c>
      <c r="C2" s="3">
        <v>58</v>
      </c>
      <c r="D2" s="3">
        <v>2</v>
      </c>
      <c r="E2" s="4" t="str">
        <f>"insert into shipmentline values ("&amp;A2&amp;", "&amp;B2&amp;", "&amp;C2&amp;", "&amp;D2&amp;");"</f>
        <v>insert into shipmentline values (1, 8, 58, 2);</v>
      </c>
    </row>
    <row r="3" spans="1:5" x14ac:dyDescent="0.35">
      <c r="A3" s="3">
        <v>2</v>
      </c>
      <c r="B3" s="3">
        <v>5</v>
      </c>
      <c r="C3" s="3">
        <v>42</v>
      </c>
      <c r="D3" s="3">
        <v>33</v>
      </c>
      <c r="E3" s="4" t="str">
        <f t="shared" ref="E3:E23" si="0">"insert into shipmentline values ("&amp;A3&amp;", "&amp;B3&amp;", "&amp;C3&amp;", "&amp;D3&amp;");"</f>
        <v>insert into shipmentline values (2, 5, 42, 33);</v>
      </c>
    </row>
    <row r="4" spans="1:5" x14ac:dyDescent="0.35">
      <c r="A4" s="3">
        <v>3</v>
      </c>
      <c r="B4" s="3">
        <v>2</v>
      </c>
      <c r="C4" s="3">
        <v>58</v>
      </c>
      <c r="D4" s="3">
        <v>1</v>
      </c>
      <c r="E4" s="4" t="str">
        <f t="shared" si="0"/>
        <v>insert into shipmentline values (3, 2, 58, 1);</v>
      </c>
    </row>
    <row r="5" spans="1:5" x14ac:dyDescent="0.35">
      <c r="A5" s="3">
        <v>3</v>
      </c>
      <c r="B5" s="3">
        <v>4</v>
      </c>
      <c r="C5" s="3">
        <v>28</v>
      </c>
      <c r="D5" s="3">
        <v>11</v>
      </c>
      <c r="E5" s="4" t="str">
        <f t="shared" si="0"/>
        <v>insert into shipmentline values (3, 4, 28, 11);</v>
      </c>
    </row>
    <row r="6" spans="1:5" x14ac:dyDescent="0.35">
      <c r="A6" s="3">
        <v>4</v>
      </c>
      <c r="B6" s="3">
        <v>3</v>
      </c>
      <c r="C6" s="3">
        <v>54</v>
      </c>
      <c r="D6" s="3">
        <v>41</v>
      </c>
      <c r="E6" s="4" t="str">
        <f t="shared" si="0"/>
        <v>insert into shipmentline values (4, 3, 54, 41);</v>
      </c>
    </row>
    <row r="7" spans="1:5" x14ac:dyDescent="0.35">
      <c r="A7" s="3">
        <v>5</v>
      </c>
      <c r="B7" s="3">
        <v>7</v>
      </c>
      <c r="C7" s="3">
        <v>37</v>
      </c>
      <c r="D7" s="3">
        <v>5</v>
      </c>
      <c r="E7" s="4" t="str">
        <f t="shared" si="0"/>
        <v>insert into shipmentline values (5, 7, 37, 5);</v>
      </c>
    </row>
    <row r="8" spans="1:5" x14ac:dyDescent="0.35">
      <c r="A8" s="3">
        <v>6</v>
      </c>
      <c r="B8" s="3">
        <v>9</v>
      </c>
      <c r="C8" s="3">
        <v>34</v>
      </c>
      <c r="D8" s="3">
        <v>3</v>
      </c>
      <c r="E8" s="4" t="str">
        <f t="shared" si="0"/>
        <v>insert into shipmentline values (6, 9, 34, 3);</v>
      </c>
    </row>
    <row r="9" spans="1:5" x14ac:dyDescent="0.35">
      <c r="A9" s="3">
        <v>7</v>
      </c>
      <c r="B9" s="3">
        <v>6</v>
      </c>
      <c r="C9" s="3">
        <v>23</v>
      </c>
      <c r="D9" s="3">
        <v>16</v>
      </c>
      <c r="E9" s="4" t="str">
        <f t="shared" si="0"/>
        <v>insert into shipmentline values (7, 6, 23, 16);</v>
      </c>
    </row>
    <row r="10" spans="1:5" x14ac:dyDescent="0.35">
      <c r="A10" s="3">
        <v>7</v>
      </c>
      <c r="B10" s="3">
        <v>10</v>
      </c>
      <c r="C10" s="3">
        <v>56</v>
      </c>
      <c r="D10" s="3">
        <v>22</v>
      </c>
      <c r="E10" s="4" t="str">
        <f t="shared" si="0"/>
        <v>insert into shipmentline values (7, 10, 56, 22);</v>
      </c>
    </row>
    <row r="11" spans="1:5" x14ac:dyDescent="0.35">
      <c r="A11" s="3">
        <v>8</v>
      </c>
      <c r="B11" s="3">
        <v>11</v>
      </c>
      <c r="C11" s="3">
        <v>61</v>
      </c>
      <c r="D11" s="3">
        <v>49</v>
      </c>
      <c r="E11" s="4" t="str">
        <f t="shared" si="0"/>
        <v>insert into shipmentline values (8, 11, 61, 49);</v>
      </c>
    </row>
    <row r="12" spans="1:5" x14ac:dyDescent="0.35">
      <c r="A12" s="3">
        <v>9</v>
      </c>
      <c r="B12" s="3">
        <v>13</v>
      </c>
      <c r="C12" s="3">
        <v>49</v>
      </c>
      <c r="D12" s="3">
        <v>40</v>
      </c>
      <c r="E12" s="4" t="str">
        <f t="shared" si="0"/>
        <v>insert into shipmentline values (9, 13, 49, 40);</v>
      </c>
    </row>
    <row r="13" spans="1:5" x14ac:dyDescent="0.35">
      <c r="A13" s="3">
        <v>10</v>
      </c>
      <c r="B13" s="3">
        <v>12</v>
      </c>
      <c r="C13" s="3">
        <v>1</v>
      </c>
      <c r="D13" s="3">
        <v>0</v>
      </c>
      <c r="E13" s="4" t="str">
        <f t="shared" si="0"/>
        <v>insert into shipmentline values (10, 12, 1, 0);</v>
      </c>
    </row>
    <row r="14" spans="1:5" x14ac:dyDescent="0.35">
      <c r="A14" s="3">
        <v>10</v>
      </c>
      <c r="B14" s="3">
        <v>14</v>
      </c>
      <c r="C14" s="3">
        <v>11</v>
      </c>
      <c r="D14" s="3">
        <v>0</v>
      </c>
      <c r="E14" s="4" t="str">
        <f t="shared" si="0"/>
        <v>insert into shipmentline values (10, 14, 11, 0);</v>
      </c>
    </row>
    <row r="15" spans="1:5" x14ac:dyDescent="0.35">
      <c r="A15" s="3">
        <v>10</v>
      </c>
      <c r="B15" s="3">
        <v>17</v>
      </c>
      <c r="C15" s="3">
        <v>8</v>
      </c>
      <c r="D15" s="3">
        <v>1</v>
      </c>
      <c r="E15" s="4" t="str">
        <f t="shared" si="0"/>
        <v>insert into shipmentline values (10, 17, 8, 1);</v>
      </c>
    </row>
    <row r="16" spans="1:5" x14ac:dyDescent="0.35">
      <c r="A16" s="3">
        <v>11</v>
      </c>
      <c r="B16" s="3">
        <v>1</v>
      </c>
      <c r="C16" s="3">
        <v>25</v>
      </c>
      <c r="D16" s="3">
        <v>37</v>
      </c>
      <c r="E16" s="4" t="str">
        <f t="shared" si="0"/>
        <v>insert into shipmentline values (11, 1, 25, 37);</v>
      </c>
    </row>
    <row r="17" spans="1:5" x14ac:dyDescent="0.35">
      <c r="A17" s="3">
        <v>11</v>
      </c>
      <c r="B17" s="3">
        <v>15</v>
      </c>
      <c r="C17" s="3">
        <v>1</v>
      </c>
      <c r="D17" s="3">
        <v>1</v>
      </c>
      <c r="E17" s="4" t="str">
        <f t="shared" si="0"/>
        <v>insert into shipmentline values (11, 15, 1, 1);</v>
      </c>
    </row>
    <row r="18" spans="1:5" x14ac:dyDescent="0.35">
      <c r="A18" s="3">
        <v>12</v>
      </c>
      <c r="B18" s="3">
        <v>18</v>
      </c>
      <c r="C18" s="3">
        <v>33</v>
      </c>
      <c r="D18" s="3">
        <v>16</v>
      </c>
      <c r="E18" s="4" t="str">
        <f t="shared" si="0"/>
        <v>insert into shipmentline values (12, 18, 33, 16);</v>
      </c>
    </row>
    <row r="19" spans="1:5" x14ac:dyDescent="0.35">
      <c r="A19" s="3">
        <v>13</v>
      </c>
      <c r="B19" s="3">
        <v>15</v>
      </c>
      <c r="C19" s="3">
        <v>2</v>
      </c>
      <c r="D19" s="3">
        <v>0</v>
      </c>
      <c r="E19" s="4" t="str">
        <f t="shared" si="0"/>
        <v>insert into shipmentline values (13, 15, 2, 0);</v>
      </c>
    </row>
    <row r="20" spans="1:5" x14ac:dyDescent="0.35">
      <c r="A20" s="3">
        <v>13</v>
      </c>
      <c r="B20" s="3">
        <v>16</v>
      </c>
      <c r="C20" s="3">
        <v>78</v>
      </c>
      <c r="D20" s="3">
        <v>23</v>
      </c>
      <c r="E20" s="4" t="str">
        <f t="shared" si="0"/>
        <v>insert into shipmentline values (13, 16, 78, 23);</v>
      </c>
    </row>
    <row r="21" spans="1:5" x14ac:dyDescent="0.35">
      <c r="A21" s="3">
        <v>13</v>
      </c>
      <c r="B21" s="3">
        <v>17</v>
      </c>
      <c r="C21" s="3">
        <v>34</v>
      </c>
      <c r="D21" s="3">
        <v>18</v>
      </c>
      <c r="E21" s="4" t="str">
        <f t="shared" si="0"/>
        <v>insert into shipmentline values (13, 17, 34, 18);</v>
      </c>
    </row>
    <row r="22" spans="1:5" x14ac:dyDescent="0.35">
      <c r="A22" s="3">
        <v>14</v>
      </c>
      <c r="B22" s="3">
        <v>20</v>
      </c>
      <c r="C22" s="3">
        <v>61</v>
      </c>
      <c r="D22" s="3">
        <v>16</v>
      </c>
      <c r="E22" s="4" t="str">
        <f t="shared" si="0"/>
        <v>insert into shipmentline values (14, 20, 61, 16);</v>
      </c>
    </row>
    <row r="23" spans="1:5" x14ac:dyDescent="0.35">
      <c r="A23" s="3">
        <v>15</v>
      </c>
      <c r="B23" s="3">
        <v>19</v>
      </c>
      <c r="C23" s="3">
        <v>35</v>
      </c>
      <c r="D23" s="3">
        <v>14</v>
      </c>
      <c r="E23" s="4" t="str">
        <f t="shared" si="0"/>
        <v>insert into shipmentline values (15, 19, 35, 14);</v>
      </c>
    </row>
    <row r="24" spans="1:5" x14ac:dyDescent="0.35">
      <c r="A24" s="3"/>
      <c r="B24" s="3"/>
      <c r="C24" s="3"/>
      <c r="D24" s="3"/>
    </row>
  </sheetData>
  <sortState xmlns:xlrd2="http://schemas.microsoft.com/office/spreadsheetml/2017/richdata2" ref="A2:I12">
    <sortCondition ref="A2:A12"/>
    <sortCondition ref="B2:B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</vt:lpstr>
      <vt:lpstr>category</vt:lpstr>
      <vt:lpstr>inventory</vt:lpstr>
      <vt:lpstr>order_source</vt:lpstr>
      <vt:lpstr>orders</vt:lpstr>
      <vt:lpstr>order_line</vt:lpstr>
      <vt:lpstr>shipment</vt:lpstr>
      <vt:lpstr>shipment_line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2021-03-17T21:20:36Z</dcterms:created>
  <dcterms:modified xsi:type="dcterms:W3CDTF">2025-10-30T16:19:01Z</dcterms:modified>
</cp:coreProperties>
</file>