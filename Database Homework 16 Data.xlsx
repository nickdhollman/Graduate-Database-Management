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statemailokstate-my.sharepoint.com/personal/nick_hollman_okstate_edu/Documents/Database Development/Module 16 - Table Population part II/"/>
    </mc:Choice>
  </mc:AlternateContent>
  <xr:revisionPtr revIDLastSave="321" documentId="13_ncr:1_{8150382E-0E1B-44DB-A286-50B806F4567F}" xr6:coauthVersionLast="47" xr6:coauthVersionMax="47" xr10:uidLastSave="{1536B4F2-3FB6-4C04-B2CC-B856E4DA40DC}"/>
  <bookViews>
    <workbookView xWindow="-110" yWindow="-110" windowWidth="25820" windowHeight="15500" firstSheet="1" activeTab="8" xr2:uid="{7E9F78A4-1226-44D6-8A2E-D30536981A83}"/>
  </bookViews>
  <sheets>
    <sheet name="Agency" sheetId="1" r:id="rId1"/>
    <sheet name="SystemAccount" sheetId="2" r:id="rId2"/>
    <sheet name="Policy" sheetId="3" r:id="rId3"/>
    <sheet name="PrimaryInsured" sheetId="4" r:id="rId4"/>
    <sheet name="Section" sheetId="5" r:id="rId5"/>
    <sheet name="Field" sheetId="6" r:id="rId6"/>
    <sheet name="Employee" sheetId="7" r:id="rId7"/>
    <sheet name="Historical.Employee" sheetId="8" r:id="rId8"/>
    <sheet name="Historical.Supervisor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7" l="1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2" i="7"/>
  <c r="J3" i="7"/>
  <c r="J4" i="7"/>
  <c r="J5" i="7"/>
  <c r="J6" i="7"/>
  <c r="J7" i="7"/>
  <c r="K7" i="7" s="1"/>
  <c r="J8" i="7"/>
  <c r="K8" i="7" s="1"/>
  <c r="J9" i="7"/>
  <c r="K9" i="7" s="1"/>
  <c r="J10" i="7"/>
  <c r="K10" i="7" s="1"/>
  <c r="J11" i="7"/>
  <c r="K11" i="7" s="1"/>
  <c r="J12" i="7"/>
  <c r="K12" i="7" s="1"/>
  <c r="J13" i="7"/>
  <c r="K13" i="7" s="1"/>
  <c r="J14" i="7"/>
  <c r="K14" i="7" s="1"/>
  <c r="J15" i="7"/>
  <c r="K15" i="7" s="1"/>
  <c r="J16" i="7"/>
  <c r="K16" i="7" s="1"/>
  <c r="J17" i="7"/>
  <c r="K17" i="7" s="1"/>
  <c r="J18" i="7"/>
  <c r="K18" i="7" s="1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K35" i="7" s="1"/>
  <c r="J36" i="7"/>
  <c r="K36" i="7" s="1"/>
  <c r="J37" i="7"/>
  <c r="K37" i="7" s="1"/>
  <c r="J38" i="7"/>
  <c r="K38" i="7" s="1"/>
  <c r="J39" i="7"/>
  <c r="J40" i="7"/>
  <c r="K40" i="7" s="1"/>
  <c r="J41" i="7"/>
  <c r="K41" i="7" s="1"/>
  <c r="J42" i="7"/>
  <c r="K42" i="7" s="1"/>
  <c r="J43" i="7"/>
  <c r="K43" i="7" s="1"/>
  <c r="J44" i="7"/>
  <c r="K44" i="7" s="1"/>
  <c r="J45" i="7"/>
  <c r="K45" i="7" s="1"/>
  <c r="J46" i="7"/>
  <c r="K46" i="7" s="1"/>
  <c r="J47" i="7"/>
  <c r="K47" i="7" s="1"/>
  <c r="J48" i="7"/>
  <c r="K48" i="7" s="1"/>
  <c r="J49" i="7"/>
  <c r="K49" i="7" s="1"/>
  <c r="J50" i="7"/>
  <c r="K50" i="7" s="1"/>
  <c r="J51" i="7"/>
  <c r="J2" i="7"/>
  <c r="K2" i="7" s="1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H18" i="7" s="1"/>
  <c r="G19" i="7"/>
  <c r="G20" i="7"/>
  <c r="G21" i="7"/>
  <c r="G22" i="7"/>
  <c r="G23" i="7"/>
  <c r="G24" i="7"/>
  <c r="H24" i="7" s="1"/>
  <c r="G25" i="7"/>
  <c r="H25" i="7" s="1"/>
  <c r="G26" i="7"/>
  <c r="H26" i="7" s="1"/>
  <c r="G27" i="7"/>
  <c r="H27" i="7" s="1"/>
  <c r="G28" i="7"/>
  <c r="H28" i="7" s="1"/>
  <c r="G29" i="7"/>
  <c r="H29" i="7" s="1"/>
  <c r="G30" i="7"/>
  <c r="H30" i="7" s="1"/>
  <c r="G31" i="7"/>
  <c r="H31" i="7" s="1"/>
  <c r="G32" i="7"/>
  <c r="H32" i="7" s="1"/>
  <c r="G33" i="7"/>
  <c r="H33" i="7" s="1"/>
  <c r="G34" i="7"/>
  <c r="H34" i="7" s="1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H48" i="7" s="1"/>
  <c r="G49" i="7"/>
  <c r="H49" i="7" s="1"/>
  <c r="G50" i="7"/>
  <c r="H50" i="7" s="1"/>
  <c r="G51" i="7"/>
  <c r="G2" i="7"/>
  <c r="D54" i="8" a="1"/>
  <c r="D54" i="8"/>
  <c r="B54" i="8" a="1"/>
  <c r="B54" i="8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2" i="9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9" i="7"/>
  <c r="K51" i="7"/>
  <c r="H4" i="7"/>
  <c r="H5" i="7"/>
  <c r="H6" i="7"/>
  <c r="H7" i="7"/>
  <c r="H8" i="7"/>
  <c r="H9" i="7"/>
  <c r="H10" i="7"/>
  <c r="H12" i="7"/>
  <c r="H13" i="7"/>
  <c r="H14" i="7"/>
  <c r="H15" i="7"/>
  <c r="H16" i="7"/>
  <c r="H17" i="7"/>
  <c r="H36" i="7"/>
  <c r="H37" i="7"/>
  <c r="H38" i="7"/>
  <c r="H39" i="7"/>
  <c r="H40" i="7"/>
  <c r="H41" i="7"/>
  <c r="H42" i="7"/>
  <c r="H44" i="7"/>
  <c r="H45" i="7"/>
  <c r="H46" i="7"/>
  <c r="H47" i="7"/>
  <c r="H2" i="7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K3" i="7"/>
  <c r="K4" i="7"/>
  <c r="K5" i="7"/>
  <c r="K6" i="7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2" i="8"/>
  <c r="F4" i="7"/>
  <c r="H3" i="7"/>
  <c r="H11" i="7"/>
  <c r="H19" i="7"/>
  <c r="H20" i="7"/>
  <c r="H21" i="7"/>
  <c r="H22" i="7"/>
  <c r="H23" i="7"/>
  <c r="H35" i="7"/>
  <c r="H43" i="7"/>
  <c r="H51" i="7"/>
  <c r="H52" i="7"/>
  <c r="H53" i="7"/>
  <c r="H54" i="7"/>
  <c r="F3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2" i="7"/>
  <c r="D56" i="7" a="1"/>
  <c r="D56" i="7" s="1"/>
  <c r="D54" i="7" a="1"/>
  <c r="D54" i="7" s="1"/>
  <c r="B56" i="7" a="1"/>
  <c r="B56" i="7" s="1"/>
  <c r="B54" i="7" a="1"/>
  <c r="B54" i="7" s="1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2" i="6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2" i="5"/>
  <c r="B55" i="5" a="1"/>
  <c r="B55" i="5"/>
  <c r="C55" i="5" a="1"/>
  <c r="C55" i="5" s="1"/>
  <c r="D55" i="5" a="1"/>
  <c r="D55" i="5" s="1"/>
  <c r="A55" i="5" a="1"/>
  <c r="A55" i="5"/>
  <c r="B53" i="5" a="1"/>
  <c r="B53" i="5"/>
  <c r="C53" i="5" a="1"/>
  <c r="C53" i="5" s="1"/>
  <c r="D53" i="5" a="1"/>
  <c r="D53" i="5" s="1"/>
  <c r="A53" i="5" a="1"/>
  <c r="A53" i="5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2" i="4"/>
  <c r="G3" i="3"/>
  <c r="G4" i="3"/>
  <c r="G5" i="3"/>
  <c r="G6" i="3"/>
  <c r="G7" i="3"/>
  <c r="G8" i="3"/>
  <c r="G9" i="3"/>
  <c r="G11" i="3"/>
  <c r="G12" i="3"/>
  <c r="G13" i="3"/>
  <c r="G14" i="3"/>
  <c r="G15" i="3"/>
  <c r="G20" i="3"/>
  <c r="G21" i="3"/>
  <c r="G22" i="3"/>
  <c r="G23" i="3"/>
  <c r="G24" i="3"/>
  <c r="G32" i="3"/>
  <c r="G33" i="3"/>
  <c r="G34" i="3"/>
  <c r="G35" i="3"/>
  <c r="G36" i="3"/>
  <c r="G37" i="3"/>
  <c r="G38" i="3"/>
  <c r="G39" i="3"/>
  <c r="G40" i="3"/>
  <c r="G41" i="3"/>
  <c r="G43" i="3"/>
  <c r="G44" i="3"/>
  <c r="G45" i="3"/>
  <c r="G46" i="3"/>
  <c r="G47" i="3"/>
  <c r="G52" i="3"/>
  <c r="G53" i="3"/>
  <c r="G54" i="3"/>
  <c r="G55" i="3"/>
  <c r="G56" i="3"/>
  <c r="G57" i="3"/>
  <c r="G58" i="3"/>
  <c r="G64" i="3"/>
  <c r="G65" i="3"/>
  <c r="G66" i="3"/>
  <c r="G67" i="3"/>
  <c r="G68" i="3"/>
  <c r="G69" i="3"/>
  <c r="G70" i="3"/>
  <c r="G71" i="3"/>
  <c r="G72" i="3"/>
  <c r="G73" i="3"/>
  <c r="G75" i="3"/>
  <c r="G76" i="3"/>
  <c r="G77" i="3"/>
  <c r="G78" i="3"/>
  <c r="G79" i="3"/>
  <c r="G84" i="3"/>
  <c r="G85" i="3"/>
  <c r="G86" i="3"/>
  <c r="G87" i="3"/>
  <c r="G88" i="3"/>
  <c r="G90" i="3"/>
  <c r="G96" i="3"/>
  <c r="G97" i="3"/>
  <c r="G98" i="3"/>
  <c r="G99" i="3"/>
  <c r="G100" i="3"/>
  <c r="G101" i="3"/>
  <c r="G102" i="3"/>
  <c r="G103" i="3"/>
  <c r="G104" i="3"/>
  <c r="G105" i="3"/>
  <c r="G107" i="3"/>
  <c r="G108" i="3"/>
  <c r="G109" i="3"/>
  <c r="G110" i="3"/>
  <c r="G111" i="3"/>
  <c r="G116" i="3"/>
  <c r="G117" i="3"/>
  <c r="G118" i="3"/>
  <c r="G119" i="3"/>
  <c r="G120" i="3"/>
  <c r="G121" i="3"/>
  <c r="G122" i="3"/>
  <c r="F3" i="3"/>
  <c r="F4" i="3"/>
  <c r="F5" i="3"/>
  <c r="F6" i="3"/>
  <c r="F7" i="3"/>
  <c r="F8" i="3"/>
  <c r="F9" i="3"/>
  <c r="F10" i="3"/>
  <c r="G10" i="3" s="1"/>
  <c r="F11" i="3"/>
  <c r="F12" i="3"/>
  <c r="F13" i="3"/>
  <c r="F14" i="3"/>
  <c r="F15" i="3"/>
  <c r="F16" i="3"/>
  <c r="G16" i="3" s="1"/>
  <c r="F17" i="3"/>
  <c r="G17" i="3" s="1"/>
  <c r="F18" i="3"/>
  <c r="G18" i="3" s="1"/>
  <c r="F19" i="3"/>
  <c r="G19" i="3" s="1"/>
  <c r="F20" i="3"/>
  <c r="F21" i="3"/>
  <c r="F22" i="3"/>
  <c r="F23" i="3"/>
  <c r="F24" i="3"/>
  <c r="F25" i="3"/>
  <c r="G25" i="3" s="1"/>
  <c r="F26" i="3"/>
  <c r="G26" i="3" s="1"/>
  <c r="F27" i="3"/>
  <c r="G27" i="3" s="1"/>
  <c r="F28" i="3"/>
  <c r="G28" i="3" s="1"/>
  <c r="F29" i="3"/>
  <c r="G29" i="3" s="1"/>
  <c r="F30" i="3"/>
  <c r="G30" i="3" s="1"/>
  <c r="F31" i="3"/>
  <c r="G31" i="3" s="1"/>
  <c r="F32" i="3"/>
  <c r="F33" i="3"/>
  <c r="F34" i="3"/>
  <c r="F35" i="3"/>
  <c r="F36" i="3"/>
  <c r="F37" i="3"/>
  <c r="F38" i="3"/>
  <c r="F39" i="3"/>
  <c r="F40" i="3"/>
  <c r="F41" i="3"/>
  <c r="F42" i="3"/>
  <c r="G42" i="3" s="1"/>
  <c r="F43" i="3"/>
  <c r="F44" i="3"/>
  <c r="F45" i="3"/>
  <c r="F46" i="3"/>
  <c r="F47" i="3"/>
  <c r="F48" i="3"/>
  <c r="G48" i="3" s="1"/>
  <c r="F49" i="3"/>
  <c r="G49" i="3" s="1"/>
  <c r="F50" i="3"/>
  <c r="G50" i="3" s="1"/>
  <c r="F51" i="3"/>
  <c r="G51" i="3" s="1"/>
  <c r="F52" i="3"/>
  <c r="F53" i="3"/>
  <c r="F54" i="3"/>
  <c r="F55" i="3"/>
  <c r="F56" i="3"/>
  <c r="F57" i="3"/>
  <c r="F58" i="3"/>
  <c r="F59" i="3"/>
  <c r="G59" i="3" s="1"/>
  <c r="F60" i="3"/>
  <c r="G60" i="3" s="1"/>
  <c r="F61" i="3"/>
  <c r="G61" i="3" s="1"/>
  <c r="F62" i="3"/>
  <c r="G62" i="3" s="1"/>
  <c r="F63" i="3"/>
  <c r="G63" i="3" s="1"/>
  <c r="F64" i="3"/>
  <c r="F65" i="3"/>
  <c r="F66" i="3"/>
  <c r="F67" i="3"/>
  <c r="F68" i="3"/>
  <c r="F69" i="3"/>
  <c r="F70" i="3"/>
  <c r="F71" i="3"/>
  <c r="F72" i="3"/>
  <c r="F73" i="3"/>
  <c r="F74" i="3"/>
  <c r="G74" i="3" s="1"/>
  <c r="F75" i="3"/>
  <c r="F76" i="3"/>
  <c r="F77" i="3"/>
  <c r="F78" i="3"/>
  <c r="F79" i="3"/>
  <c r="F80" i="3"/>
  <c r="G80" i="3" s="1"/>
  <c r="F81" i="3"/>
  <c r="G81" i="3" s="1"/>
  <c r="F82" i="3"/>
  <c r="G82" i="3" s="1"/>
  <c r="F83" i="3"/>
  <c r="G83" i="3" s="1"/>
  <c r="F84" i="3"/>
  <c r="F85" i="3"/>
  <c r="F86" i="3"/>
  <c r="F87" i="3"/>
  <c r="F88" i="3"/>
  <c r="F89" i="3"/>
  <c r="G89" i="3" s="1"/>
  <c r="F90" i="3"/>
  <c r="F91" i="3"/>
  <c r="G91" i="3" s="1"/>
  <c r="F92" i="3"/>
  <c r="G92" i="3" s="1"/>
  <c r="F93" i="3"/>
  <c r="G93" i="3" s="1"/>
  <c r="F94" i="3"/>
  <c r="G94" i="3" s="1"/>
  <c r="F95" i="3"/>
  <c r="G95" i="3" s="1"/>
  <c r="F96" i="3"/>
  <c r="F97" i="3"/>
  <c r="F98" i="3"/>
  <c r="F99" i="3"/>
  <c r="F100" i="3"/>
  <c r="F101" i="3"/>
  <c r="F102" i="3"/>
  <c r="F103" i="3"/>
  <c r="F104" i="3"/>
  <c r="F105" i="3"/>
  <c r="F106" i="3"/>
  <c r="G106" i="3" s="1"/>
  <c r="F107" i="3"/>
  <c r="F108" i="3"/>
  <c r="F109" i="3"/>
  <c r="F110" i="3"/>
  <c r="F111" i="3"/>
  <c r="F112" i="3"/>
  <c r="G112" i="3" s="1"/>
  <c r="F113" i="3"/>
  <c r="G113" i="3" s="1"/>
  <c r="F114" i="3"/>
  <c r="G114" i="3" s="1"/>
  <c r="F115" i="3"/>
  <c r="G115" i="3" s="1"/>
  <c r="F116" i="3"/>
  <c r="F117" i="3"/>
  <c r="F118" i="3"/>
  <c r="F119" i="3"/>
  <c r="F120" i="3"/>
  <c r="F121" i="3"/>
  <c r="F122" i="3"/>
  <c r="F123" i="3"/>
  <c r="G123" i="3" s="1"/>
  <c r="F124" i="3"/>
  <c r="G124" i="3" s="1"/>
  <c r="F125" i="3"/>
  <c r="G125" i="3" s="1"/>
  <c r="F126" i="3"/>
  <c r="G126" i="3" s="1"/>
  <c r="F2" i="3"/>
  <c r="G2" i="3" s="1"/>
  <c r="A56" i="4" a="1"/>
  <c r="A56" i="4" s="1"/>
  <c r="B56" i="4" a="1"/>
  <c r="B56" i="4"/>
  <c r="A54" i="4" a="1"/>
  <c r="A54" i="4" s="1"/>
  <c r="B54" i="4" a="1"/>
  <c r="B54" i="4" s="1"/>
  <c r="C56" i="4" a="1"/>
  <c r="C56" i="4"/>
  <c r="C54" i="4" a="1"/>
  <c r="C54" i="4"/>
  <c r="C131" i="3" a="1"/>
  <c r="C131" i="3" s="1"/>
  <c r="C129" i="3" a="1"/>
  <c r="C129" i="3" s="1"/>
  <c r="D60" i="2" a="1"/>
  <c r="D60" i="2" s="1"/>
  <c r="D58" i="2" a="1"/>
  <c r="D58" i="2" s="1"/>
  <c r="C60" i="2" a="1"/>
  <c r="C60" i="2" s="1"/>
  <c r="C58" i="2" a="1"/>
  <c r="C58" i="2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" i="1"/>
  <c r="F2" i="1"/>
  <c r="C30" i="1" a="1"/>
  <c r="C30" i="1" s="1"/>
  <c r="D30" i="1" a="1"/>
  <c r="D30" i="1" s="1"/>
  <c r="B30" i="1" a="1"/>
  <c r="B30" i="1" s="1"/>
  <c r="A30" i="1" a="1"/>
  <c r="A30" i="1" s="1"/>
  <c r="D28" i="1" a="1"/>
  <c r="D28" i="1" s="1"/>
  <c r="C28" i="1" a="1"/>
  <c r="C28" i="1" s="1"/>
  <c r="B28" i="1" a="1"/>
  <c r="B28" i="1" s="1"/>
  <c r="A28" i="1" a="1"/>
  <c r="A2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<sst xmlns="http://schemas.openxmlformats.org/spreadsheetml/2006/main" count="844" uniqueCount="594">
  <si>
    <t>AgencyID</t>
  </si>
  <si>
    <t>Street</t>
  </si>
  <si>
    <t>City</t>
  </si>
  <si>
    <t>Zip</t>
  </si>
  <si>
    <t>Phone</t>
  </si>
  <si>
    <t>36 West Fabien St.</t>
  </si>
  <si>
    <t>Garland</t>
  </si>
  <si>
    <t>132-544-2171</t>
  </si>
  <si>
    <t>935 Nobel Way</t>
  </si>
  <si>
    <t>Milwaukee</t>
  </si>
  <si>
    <t>502-848-3846</t>
  </si>
  <si>
    <t>91 Hague Parkway</t>
  </si>
  <si>
    <t>Atlanta</t>
  </si>
  <si>
    <t>675-551-1687</t>
  </si>
  <si>
    <t>50 Cowley Avenue</t>
  </si>
  <si>
    <t>Austin</t>
  </si>
  <si>
    <t>696-180-9233</t>
  </si>
  <si>
    <t>525 North Old Parkway</t>
  </si>
  <si>
    <t>Madison</t>
  </si>
  <si>
    <t>170-571-8640</t>
  </si>
  <si>
    <t>48 Old Freeway</t>
  </si>
  <si>
    <t>Colorado</t>
  </si>
  <si>
    <t>191-332-7911</t>
  </si>
  <si>
    <t>545 New Way</t>
  </si>
  <si>
    <t>Toledo</t>
  </si>
  <si>
    <t>662-418-3332</t>
  </si>
  <si>
    <t>80 White New St.</t>
  </si>
  <si>
    <t>Cincinnati</t>
  </si>
  <si>
    <t>057-220-6134</t>
  </si>
  <si>
    <t>16 Nobel St.</t>
  </si>
  <si>
    <t>Bakersfield</t>
  </si>
  <si>
    <t>900-896-1551</t>
  </si>
  <si>
    <t>361 Milton Way</t>
  </si>
  <si>
    <t>El Paso</t>
  </si>
  <si>
    <t>224-581-3669</t>
  </si>
  <si>
    <t>76 Cowley Way</t>
  </si>
  <si>
    <t>Washington</t>
  </si>
  <si>
    <t>802-482-2700</t>
  </si>
  <si>
    <t>11 White Second Road</t>
  </si>
  <si>
    <t>Akron</t>
  </si>
  <si>
    <t>362-026-9808</t>
  </si>
  <si>
    <t>39 White New Blvd.</t>
  </si>
  <si>
    <t>Indianapolis</t>
  </si>
  <si>
    <t>526-443-1561</t>
  </si>
  <si>
    <t>19 White Fabien Drive</t>
  </si>
  <si>
    <t>Norfolk</t>
  </si>
  <si>
    <t>686-547-4594</t>
  </si>
  <si>
    <t>220 East Second Street</t>
  </si>
  <si>
    <t>Louisville</t>
  </si>
  <si>
    <t>326-221-3996</t>
  </si>
  <si>
    <t>936 North Cowley Boulevard</t>
  </si>
  <si>
    <t>Chicago</t>
  </si>
  <si>
    <t>663-067-5839</t>
  </si>
  <si>
    <t>28 Rocky Oak Road</t>
  </si>
  <si>
    <t>Cleveland</t>
  </si>
  <si>
    <t>505-771-0042</t>
  </si>
  <si>
    <t>641 New Avenue</t>
  </si>
  <si>
    <t>Little Rock</t>
  </si>
  <si>
    <t>491-873-7162</t>
  </si>
  <si>
    <t>448 Clarendon Street</t>
  </si>
  <si>
    <t>Dayton</t>
  </si>
  <si>
    <t>266-438-6032</t>
  </si>
  <si>
    <t>790 Cowley Drive</t>
  </si>
  <si>
    <t>Sacramento</t>
  </si>
  <si>
    <t>145-599-2882</t>
  </si>
  <si>
    <t>458 Rocky Hague Avenue</t>
  </si>
  <si>
    <t>Greensboro</t>
  </si>
  <si>
    <t>650-997-4512</t>
  </si>
  <si>
    <t>87 Cowley Boulevard</t>
  </si>
  <si>
    <t>Lincoln</t>
  </si>
  <si>
    <t>133-870-5960</t>
  </si>
  <si>
    <t>41 White Cowley Boulevard</t>
  </si>
  <si>
    <t>St. Louis</t>
  </si>
  <si>
    <t>728-875-7387</t>
  </si>
  <si>
    <t>727 East Hague Avenue</t>
  </si>
  <si>
    <t>Grand Rapids</t>
  </si>
  <si>
    <t>440-944-7634</t>
  </si>
  <si>
    <t>21 Nobel Parkway</t>
  </si>
  <si>
    <t>Omaha</t>
  </si>
  <si>
    <t>NULL</t>
  </si>
  <si>
    <t>112-647-2543</t>
  </si>
  <si>
    <t>SystemID</t>
  </si>
  <si>
    <t>Username</t>
  </si>
  <si>
    <t>Password</t>
  </si>
  <si>
    <t>dnfern</t>
  </si>
  <si>
    <t>PI4HLLRV5J14</t>
  </si>
  <si>
    <t>ldsawy</t>
  </si>
  <si>
    <t>09OTHAQNY2BT</t>
  </si>
  <si>
    <t>sdweek</t>
  </si>
  <si>
    <t>7M1IVF2YLFB1</t>
  </si>
  <si>
    <t>rvdalt</t>
  </si>
  <si>
    <t>63KVFBNOG8N3</t>
  </si>
  <si>
    <t xml:space="preserve">amay  </t>
  </si>
  <si>
    <t>BVGBSEXR4E65</t>
  </si>
  <si>
    <t>khhens</t>
  </si>
  <si>
    <t>ABOZ054DFMEQ</t>
  </si>
  <si>
    <t>nlockl</t>
  </si>
  <si>
    <t>4Y8TYDVOYSOW</t>
  </si>
  <si>
    <t>wrwein</t>
  </si>
  <si>
    <t>XQVZLEKTADGT</t>
  </si>
  <si>
    <t xml:space="preserve">dross </t>
  </si>
  <si>
    <t>2IFJML1KJ0GP</t>
  </si>
  <si>
    <t>kpbroc</t>
  </si>
  <si>
    <t>3OE7ICA4IEQB</t>
  </si>
  <si>
    <t>bmayna</t>
  </si>
  <si>
    <t>8WADIXHSY6AH</t>
  </si>
  <si>
    <t>anmcma</t>
  </si>
  <si>
    <t>724C1QGGOMAM</t>
  </si>
  <si>
    <t>eselmo</t>
  </si>
  <si>
    <t>8E4LCLAADW6J</t>
  </si>
  <si>
    <t>ericha</t>
  </si>
  <si>
    <t>J8T8F7VZHXY7</t>
  </si>
  <si>
    <t>jvjoyc</t>
  </si>
  <si>
    <t>U0AUMQJXGL3V</t>
  </si>
  <si>
    <t>twater</t>
  </si>
  <si>
    <t>POUKL19LJFGT</t>
  </si>
  <si>
    <t>mnmonr</t>
  </si>
  <si>
    <t>RVFB7SHT6LZ9</t>
  </si>
  <si>
    <t>jegarr</t>
  </si>
  <si>
    <t>GUAAM31F564V</t>
  </si>
  <si>
    <t>akweis</t>
  </si>
  <si>
    <t>TOOH4JL0102C</t>
  </si>
  <si>
    <t>arcrav</t>
  </si>
  <si>
    <t>2C1THPJD4MJ3</t>
  </si>
  <si>
    <t>bbento</t>
  </si>
  <si>
    <t>FJP90VQARLA3</t>
  </si>
  <si>
    <t>eastan</t>
  </si>
  <si>
    <t>ISCDX4C7IDTO</t>
  </si>
  <si>
    <t>cdshel</t>
  </si>
  <si>
    <t>HE60KIDDJ0EW</t>
  </si>
  <si>
    <t>gpcurr</t>
  </si>
  <si>
    <t>PV053QM1JTZY</t>
  </si>
  <si>
    <t>repuck</t>
  </si>
  <si>
    <t>FPJDHDB3LIZR</t>
  </si>
  <si>
    <t>tooakl</t>
  </si>
  <si>
    <t>N0BK0B67KWIE</t>
  </si>
  <si>
    <t>djlync</t>
  </si>
  <si>
    <t>QBWC3LYSUSIU</t>
  </si>
  <si>
    <t>ldnixo</t>
  </si>
  <si>
    <t>3LXVTGB88KK0</t>
  </si>
  <si>
    <t>bjwalt</t>
  </si>
  <si>
    <t>MQNO4Y8KV0SW</t>
  </si>
  <si>
    <t>kqmatt</t>
  </si>
  <si>
    <t>U32T0PX90URG</t>
  </si>
  <si>
    <t>trfull</t>
  </si>
  <si>
    <t>5TDUFAOHMAZG</t>
  </si>
  <si>
    <t>tkdani</t>
  </si>
  <si>
    <t>RYJ3TZJH12KK</t>
  </si>
  <si>
    <t>gzglov</t>
  </si>
  <si>
    <t>6B4LICOF91JM</t>
  </si>
  <si>
    <t>eggran</t>
  </si>
  <si>
    <t>C1ANVXY3PG5X</t>
  </si>
  <si>
    <t>rzhang</t>
  </si>
  <si>
    <t>0V8TJ1BMORT0</t>
  </si>
  <si>
    <t>jdbrad</t>
  </si>
  <si>
    <t>0YRJ0OS2AKB8</t>
  </si>
  <si>
    <t xml:space="preserve">hzwu  </t>
  </si>
  <si>
    <t>OUR3LNXD01G6</t>
  </si>
  <si>
    <t>hkwhit</t>
  </si>
  <si>
    <t>OOSY78J02HT1</t>
  </si>
  <si>
    <t>lpwolf</t>
  </si>
  <si>
    <t>HSS37AOIQ1SL</t>
  </si>
  <si>
    <t>bscope</t>
  </si>
  <si>
    <t>HQ3BANIP61Z2</t>
  </si>
  <si>
    <t>rpsell</t>
  </si>
  <si>
    <t>R5CD28HYQDZL</t>
  </si>
  <si>
    <t>nzrobi</t>
  </si>
  <si>
    <t>0O7JJNIIXEF1</t>
  </si>
  <si>
    <t>tdhunt</t>
  </si>
  <si>
    <t>NB7GV5Y8ZMBL</t>
  </si>
  <si>
    <t>jlfinc</t>
  </si>
  <si>
    <t>1I6YGWPZ8HFM</t>
  </si>
  <si>
    <t>sopate</t>
  </si>
  <si>
    <t>G73OSN2Q4XRV</t>
  </si>
  <si>
    <t xml:space="preserve">bqwu  </t>
  </si>
  <si>
    <t>4XIFLK16E3KI</t>
  </si>
  <si>
    <t>lmbend</t>
  </si>
  <si>
    <t>AG3LKTEITBM4</t>
  </si>
  <si>
    <t>mkrich</t>
  </si>
  <si>
    <t>HTEWVPN75LUU</t>
  </si>
  <si>
    <t>suhorn</t>
  </si>
  <si>
    <t>JQM6EB6MELG9</t>
  </si>
  <si>
    <t>jilass</t>
  </si>
  <si>
    <t>MKH3UDW3LZOA</t>
  </si>
  <si>
    <t>lnjose</t>
  </si>
  <si>
    <t>KJEO045QU44Q</t>
  </si>
  <si>
    <t>jubart</t>
  </si>
  <si>
    <t>3R22DX77QB9F</t>
  </si>
  <si>
    <t>mnwhit</t>
  </si>
  <si>
    <t>BYEOSYON6ZEE</t>
  </si>
  <si>
    <t>aumcdo</t>
  </si>
  <si>
    <t>9K6W93N9KRWV</t>
  </si>
  <si>
    <t>phsong</t>
  </si>
  <si>
    <t>ROVMHCYVS102</t>
  </si>
  <si>
    <t>PolicyID</t>
  </si>
  <si>
    <t>InsuredID</t>
  </si>
  <si>
    <t>CoverageAmount</t>
  </si>
  <si>
    <t>PolicyDate</t>
  </si>
  <si>
    <t>Name</t>
  </si>
  <si>
    <t>Jonathan Adams</t>
  </si>
  <si>
    <t>510-325-8868</t>
  </si>
  <si>
    <t>Joanne Lewis</t>
  </si>
  <si>
    <t>682-467-0216</t>
  </si>
  <si>
    <t>Shelby Hawkins</t>
  </si>
  <si>
    <t>963-995-2110</t>
  </si>
  <si>
    <t>Misti Glover</t>
  </si>
  <si>
    <t>251-832-7320</t>
  </si>
  <si>
    <t>Dean Ewing</t>
  </si>
  <si>
    <t>239-917-0186</t>
  </si>
  <si>
    <t>Vanessa Rogers</t>
  </si>
  <si>
    <t>665-720-2816</t>
  </si>
  <si>
    <t>Rickey Powers</t>
  </si>
  <si>
    <t>719-152-1499</t>
  </si>
  <si>
    <t>Whitney Mathews</t>
  </si>
  <si>
    <t>738-090-7985</t>
  </si>
  <si>
    <t>Alberto Trevino</t>
  </si>
  <si>
    <t>280-093-1753</t>
  </si>
  <si>
    <t>Cornelius Lutz</t>
  </si>
  <si>
    <t>191-415-1449</t>
  </si>
  <si>
    <t>Lee Phelps</t>
  </si>
  <si>
    <t>434-270-0233</t>
  </si>
  <si>
    <t>Lance Lawrence</t>
  </si>
  <si>
    <t>358-511-5809</t>
  </si>
  <si>
    <t>Joanne Wang</t>
  </si>
  <si>
    <t>100-806-2051</t>
  </si>
  <si>
    <t>Terri Kemp</t>
  </si>
  <si>
    <t>867-410-2885</t>
  </si>
  <si>
    <t>Alana Hardin</t>
  </si>
  <si>
    <t>107-082-7416</t>
  </si>
  <si>
    <t>Trenton Eaton</t>
  </si>
  <si>
    <t>518-680-0136</t>
  </si>
  <si>
    <t>Darryl Dalton</t>
  </si>
  <si>
    <t>386-264-8857</t>
  </si>
  <si>
    <t>Erick Yates</t>
  </si>
  <si>
    <t>782-475-3439</t>
  </si>
  <si>
    <t>Everett Greer</t>
  </si>
  <si>
    <t>514-672-4046</t>
  </si>
  <si>
    <t>Rodolfo Patel</t>
  </si>
  <si>
    <t>264-472-4324</t>
  </si>
  <si>
    <t>Bobbi Mathis</t>
  </si>
  <si>
    <t>728-394-5427</t>
  </si>
  <si>
    <t>Andrew Norman</t>
  </si>
  <si>
    <t>417-469-4442</t>
  </si>
  <si>
    <t>Kristin Dickerson</t>
  </si>
  <si>
    <t>210-027-4100</t>
  </si>
  <si>
    <t>Morgan Hanson</t>
  </si>
  <si>
    <t>504-328-9362</t>
  </si>
  <si>
    <t>Trevor Noble</t>
  </si>
  <si>
    <t>641-811-6777</t>
  </si>
  <si>
    <t>Josh Marks</t>
  </si>
  <si>
    <t>655-490-9334</t>
  </si>
  <si>
    <t>Laura James</t>
  </si>
  <si>
    <t>478-557-6803</t>
  </si>
  <si>
    <t>Neal Costa</t>
  </si>
  <si>
    <t>598-759-9065</t>
  </si>
  <si>
    <t>Lorenzo Maddox</t>
  </si>
  <si>
    <t>133-658-6456</t>
  </si>
  <si>
    <t>Maggie Schmitt</t>
  </si>
  <si>
    <t>770-239-4501</t>
  </si>
  <si>
    <t>Kerry Mccoy</t>
  </si>
  <si>
    <t>495-243-3881</t>
  </si>
  <si>
    <t>Kristina Briggs</t>
  </si>
  <si>
    <t>862-226-8074</t>
  </si>
  <si>
    <t>Jermaine Simon</t>
  </si>
  <si>
    <t>218-188-1095</t>
  </si>
  <si>
    <t>Shad Hunter</t>
  </si>
  <si>
    <t>117-755-0903</t>
  </si>
  <si>
    <t>Kimberly Cisneros</t>
  </si>
  <si>
    <t>673-812-2335</t>
  </si>
  <si>
    <t>Kendra Ferrell</t>
  </si>
  <si>
    <t>529-571-5321</t>
  </si>
  <si>
    <t>Lance Pollard</t>
  </si>
  <si>
    <t>209-421-2543</t>
  </si>
  <si>
    <t>Jonathan Dawson</t>
  </si>
  <si>
    <t>921-020-3136</t>
  </si>
  <si>
    <t>Evan Dougherty</t>
  </si>
  <si>
    <t>937-895-4140</t>
  </si>
  <si>
    <t>Emily Case</t>
  </si>
  <si>
    <t>397-438-9651</t>
  </si>
  <si>
    <t>Brooke Summers</t>
  </si>
  <si>
    <t>329-720-0953</t>
  </si>
  <si>
    <t>Mason Duffy</t>
  </si>
  <si>
    <t>459-865-2037</t>
  </si>
  <si>
    <t>Ricardo Rowland</t>
  </si>
  <si>
    <t>490-571-2986</t>
  </si>
  <si>
    <t>Loren Holder</t>
  </si>
  <si>
    <t>541-463-4438</t>
  </si>
  <si>
    <t>Demond Cobb</t>
  </si>
  <si>
    <t>475-494-1630</t>
  </si>
  <si>
    <t>Tameka Knox</t>
  </si>
  <si>
    <t>750-431-5618</t>
  </si>
  <si>
    <t>Angelina Mckee</t>
  </si>
  <si>
    <t>843-629-3418</t>
  </si>
  <si>
    <t>Kelly Paul</t>
  </si>
  <si>
    <t>337-708-5048</t>
  </si>
  <si>
    <t>Darin Buckley</t>
  </si>
  <si>
    <t>706-792-9517</t>
  </si>
  <si>
    <t>Pamela Cervantes</t>
  </si>
  <si>
    <t>636-099-6741</t>
  </si>
  <si>
    <t>StateCode</t>
  </si>
  <si>
    <t>SectionID</t>
  </si>
  <si>
    <t>SoilType</t>
  </si>
  <si>
    <t>PercentArable</t>
  </si>
  <si>
    <t>AK</t>
  </si>
  <si>
    <t>silty</t>
  </si>
  <si>
    <t>AL</t>
  </si>
  <si>
    <t>AR</t>
  </si>
  <si>
    <t>AZ</t>
  </si>
  <si>
    <t>loamy</t>
  </si>
  <si>
    <t>CA</t>
  </si>
  <si>
    <t>CO</t>
  </si>
  <si>
    <t>sandy</t>
  </si>
  <si>
    <t>CT</t>
  </si>
  <si>
    <t>peaty</t>
  </si>
  <si>
    <t>DE</t>
  </si>
  <si>
    <t>FL</t>
  </si>
  <si>
    <t>GA</t>
  </si>
  <si>
    <t>clay</t>
  </si>
  <si>
    <t>HI</t>
  </si>
  <si>
    <t>IA</t>
  </si>
  <si>
    <t>ID</t>
  </si>
  <si>
    <t>chalky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</si>
  <si>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</si>
  <si>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</si>
  <si>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</si>
  <si>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</si>
  <si>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</si>
  <si>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</si>
  <si>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</si>
  <si>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</si>
  <si>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</si>
  <si>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</si>
  <si>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</si>
  <si>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</si>
  <si>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</si>
  <si>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</si>
  <si>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</si>
  <si>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</si>
  <si>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</si>
  <si>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</si>
  <si>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</si>
  <si>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</si>
  <si>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</si>
  <si>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</si>
  <si>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</si>
  <si>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</si>
  <si>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</si>
  <si>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</si>
  <si>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</si>
  <si>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</si>
  <si>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</si>
  <si>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</si>
  <si>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</si>
  <si>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</si>
  <si>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</si>
  <si>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</si>
  <si>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</si>
  <si>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</si>
  <si>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</si>
  <si>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FieldID</t>
  </si>
  <si>
    <t>YeildPerAcre</t>
  </si>
  <si>
    <t>EmpID</t>
  </si>
  <si>
    <t>Salary</t>
  </si>
  <si>
    <t>Title</t>
  </si>
  <si>
    <t>SupervisorID</t>
  </si>
  <si>
    <t>Ginger Allen</t>
  </si>
  <si>
    <t>Director of Communications</t>
  </si>
  <si>
    <t>Erika Waller</t>
  </si>
  <si>
    <t>Food Service Aide</t>
  </si>
  <si>
    <t>Tania Herrera</t>
  </si>
  <si>
    <t>District Manager</t>
  </si>
  <si>
    <t>Frank Rojas</t>
  </si>
  <si>
    <t>Desktop Analyst</t>
  </si>
  <si>
    <t>Norma Bean</t>
  </si>
  <si>
    <t>Dental Receptionist</t>
  </si>
  <si>
    <t>Esther Gordon</t>
  </si>
  <si>
    <t>Tour Guide</t>
  </si>
  <si>
    <t>Wallace French</t>
  </si>
  <si>
    <t>Bagger</t>
  </si>
  <si>
    <t>Carolyn Blackwell</t>
  </si>
  <si>
    <t>Senior Project Engineer</t>
  </si>
  <si>
    <t>Terence Ramsey</t>
  </si>
  <si>
    <t>Sales Support Specialist</t>
  </si>
  <si>
    <t>Frankie Woodard</t>
  </si>
  <si>
    <t>Home Inspector</t>
  </si>
  <si>
    <t>Marisa Petersen</t>
  </si>
  <si>
    <t>Network Administrator</t>
  </si>
  <si>
    <t>Joni Sampson</t>
  </si>
  <si>
    <t>Medical Editor</t>
  </si>
  <si>
    <t>Margaret Adkins</t>
  </si>
  <si>
    <t>Wedding Consultant</t>
  </si>
  <si>
    <t>Willie Fields</t>
  </si>
  <si>
    <t>Innovation Manager</t>
  </si>
  <si>
    <t>Fire Protection Engineer</t>
  </si>
  <si>
    <t>Connie Walters</t>
  </si>
  <si>
    <t>Bus Monitor</t>
  </si>
  <si>
    <t>Junior Programmer</t>
  </si>
  <si>
    <t>Sabrina Nichols</t>
  </si>
  <si>
    <t>Content Editor</t>
  </si>
  <si>
    <t>Jasmine Marquez</t>
  </si>
  <si>
    <t>Store Assistant Manager</t>
  </si>
  <si>
    <t>Edgar Conley</t>
  </si>
  <si>
    <t>3D Modeler</t>
  </si>
  <si>
    <t>Tonia Schaefer</t>
  </si>
  <si>
    <t>Brand Specialist</t>
  </si>
  <si>
    <t>Darrick O'Connor</t>
  </si>
  <si>
    <t>Human Resources Associate</t>
  </si>
  <si>
    <t>Sonja Holder</t>
  </si>
  <si>
    <t>Resource Specialist</t>
  </si>
  <si>
    <t>Suzanne Crawford</t>
  </si>
  <si>
    <t>Vmware Engineer</t>
  </si>
  <si>
    <t>Anthony Carlson</t>
  </si>
  <si>
    <t>Employee Relations Specialist</t>
  </si>
  <si>
    <t>Jessica Collier</t>
  </si>
  <si>
    <t>Radiology Manager</t>
  </si>
  <si>
    <t>Quincy Green</t>
  </si>
  <si>
    <t>Financial Representative</t>
  </si>
  <si>
    <t>Irma Duncan</t>
  </si>
  <si>
    <t>Wind Turbine Technician</t>
  </si>
  <si>
    <t>Mia Rowland</t>
  </si>
  <si>
    <t>Hr Consultant</t>
  </si>
  <si>
    <t>Donovan Parrish</t>
  </si>
  <si>
    <t>Medical Laboratory Technician</t>
  </si>
  <si>
    <t>Monte Wagner</t>
  </si>
  <si>
    <t>Retail Analyst</t>
  </si>
  <si>
    <t>Dora Rasmussen</t>
  </si>
  <si>
    <t>Field Marketing Manager</t>
  </si>
  <si>
    <t>Rex Santana</t>
  </si>
  <si>
    <t>Product Analyst</t>
  </si>
  <si>
    <t>Kara Riley</t>
  </si>
  <si>
    <t>Automotive Manager</t>
  </si>
  <si>
    <t>Nicole Barron</t>
  </si>
  <si>
    <t>Autocad Designer</t>
  </si>
  <si>
    <t>Jeffrey Krueger</t>
  </si>
  <si>
    <t>Revenue Cycle Manager</t>
  </si>
  <si>
    <t>Roman Gilmore</t>
  </si>
  <si>
    <t>Quality Control Inspector</t>
  </si>
  <si>
    <t>Celeste Reese</t>
  </si>
  <si>
    <t>Dental Assistant</t>
  </si>
  <si>
    <t>Pamela Mora</t>
  </si>
  <si>
    <t>Revenue Cycle Analyst</t>
  </si>
  <si>
    <t>Eric Sullivan</t>
  </si>
  <si>
    <t>Transportation Clerk</t>
  </si>
  <si>
    <t>Fred Olson</t>
  </si>
  <si>
    <t>Technical Support Engineer</t>
  </si>
  <si>
    <t>Malcolm Sandoval</t>
  </si>
  <si>
    <t>Erp Consultant</t>
  </si>
  <si>
    <t>Keri Scott</t>
  </si>
  <si>
    <t>Research Officer</t>
  </si>
  <si>
    <t>Katherine Buchanan</t>
  </si>
  <si>
    <t>Radiologic Technologist</t>
  </si>
  <si>
    <t>Rachael Juarez</t>
  </si>
  <si>
    <t>Loss Prevention Investigator</t>
  </si>
  <si>
    <t>Brock Watts</t>
  </si>
  <si>
    <t>Engineering Supervisor</t>
  </si>
  <si>
    <t>Jacob Tyler</t>
  </si>
  <si>
    <t>Gis Specialist</t>
  </si>
  <si>
    <t>Cory Warren</t>
  </si>
  <si>
    <t>Jde Developer</t>
  </si>
  <si>
    <t>Ivan Padilla</t>
  </si>
  <si>
    <t>Immigration Attorney</t>
  </si>
  <si>
    <t>Brandie Pineda</t>
  </si>
  <si>
    <t>Accounts Receivable Supervisor</t>
  </si>
  <si>
    <t>Kristina Cardenas</t>
  </si>
  <si>
    <t>Leasing Associate</t>
  </si>
  <si>
    <t>Nick Robbins</t>
  </si>
  <si>
    <t>Sonar Technician</t>
  </si>
  <si>
    <t>Kim Pace</t>
  </si>
  <si>
    <t>Professional Nurse</t>
  </si>
  <si>
    <t>Roderick Morrow</t>
  </si>
  <si>
    <t>Taxi Driver</t>
  </si>
  <si>
    <t>Lea Arias</t>
  </si>
  <si>
    <t>Housing Counselor</t>
  </si>
  <si>
    <t>Carmen Blackburn</t>
  </si>
  <si>
    <t>Hse Coordinator</t>
  </si>
  <si>
    <t>Jocelyn Giles</t>
  </si>
  <si>
    <t>Budget Analyst</t>
  </si>
  <si>
    <t>Tami Heath</t>
  </si>
  <si>
    <t>Annette Gardner</t>
  </si>
  <si>
    <t>Architectural Draftsman</t>
  </si>
  <si>
    <t>Yolanda Haney</t>
  </si>
  <si>
    <t>Parts Manager</t>
  </si>
  <si>
    <t>Clifton Reyes</t>
  </si>
  <si>
    <t>Child Care Worker</t>
  </si>
  <si>
    <t>Shari Brewer</t>
  </si>
  <si>
    <t>Chemical Engineer</t>
  </si>
  <si>
    <t>Donnie Branch</t>
  </si>
  <si>
    <t>Sonya Mc Dowell</t>
  </si>
  <si>
    <t>Recreation Coordinator</t>
  </si>
  <si>
    <t>Jo Benton</t>
  </si>
  <si>
    <t>Barry Reed</t>
  </si>
  <si>
    <t>Team Manager</t>
  </si>
  <si>
    <t>Bart Krueger</t>
  </si>
  <si>
    <t>Warehouseman</t>
  </si>
  <si>
    <t>Everett Rocha</t>
  </si>
  <si>
    <t>Content Developer</t>
  </si>
  <si>
    <t>Randal Reese</t>
  </si>
  <si>
    <t>Integration Consultant</t>
  </si>
  <si>
    <t>Kenneth Colon</t>
  </si>
  <si>
    <t>Barback</t>
  </si>
  <si>
    <t>Colby Chaney</t>
  </si>
  <si>
    <t>Senior Operations Manager</t>
  </si>
  <si>
    <t>Erick Edwards</t>
  </si>
  <si>
    <t>Sat Tutor</t>
  </si>
  <si>
    <t>Tabatha O'Connor</t>
  </si>
  <si>
    <t>Hospitality Associate</t>
  </si>
  <si>
    <t>Trevor Fischer</t>
  </si>
  <si>
    <t>Quality Assurance Assistant</t>
  </si>
  <si>
    <t>Abel Chambers</t>
  </si>
  <si>
    <t>John Ellison</t>
  </si>
  <si>
    <t>Document Controller</t>
  </si>
  <si>
    <t>Demetrius Collier</t>
  </si>
  <si>
    <t>Support Manager</t>
  </si>
  <si>
    <t>Amber Ibarra</t>
  </si>
  <si>
    <t>Accounting Assistant</t>
  </si>
  <si>
    <t>Claudia Richardson</t>
  </si>
  <si>
    <t>Information Security Engineer</t>
  </si>
  <si>
    <t>Grace Vaughn</t>
  </si>
  <si>
    <t>Surgical Nurse</t>
  </si>
  <si>
    <t>Pete Lane</t>
  </si>
  <si>
    <t>Personnel Assistant</t>
  </si>
  <si>
    <t>Jocelyn Andersen</t>
  </si>
  <si>
    <t>Part Time Sales Associate</t>
  </si>
  <si>
    <t>Salvador Young</t>
  </si>
  <si>
    <t>Claim Specialist</t>
  </si>
  <si>
    <t>Kristi Byrd</t>
  </si>
  <si>
    <t>Software Specialist</t>
  </si>
  <si>
    <t>Candace Chapman</t>
  </si>
  <si>
    <t>Food Services Manager</t>
  </si>
  <si>
    <t>Bryce Figueroa</t>
  </si>
  <si>
    <t>Pediatrician</t>
  </si>
  <si>
    <t>Tara Paul</t>
  </si>
  <si>
    <t>Oncology Pharmacist</t>
  </si>
  <si>
    <t>Diana Hansen</t>
  </si>
  <si>
    <t>Engineering Assistant</t>
  </si>
  <si>
    <t>Leon Mueller</t>
  </si>
  <si>
    <t>Process Improvement Analyst</t>
  </si>
  <si>
    <t>Lorie Wolf</t>
  </si>
  <si>
    <t>Senior Product Manager</t>
  </si>
  <si>
    <t>Julian Carr</t>
  </si>
  <si>
    <t>Business Development Manager</t>
  </si>
  <si>
    <t>Bridgett Newman</t>
  </si>
  <si>
    <t>Health Care Assistant</t>
  </si>
  <si>
    <t>Paige Casey</t>
  </si>
  <si>
    <t>Photojournalist</t>
  </si>
  <si>
    <t>Frankie Bishop</t>
  </si>
  <si>
    <t>Producer</t>
  </si>
  <si>
    <t>Cecil Cole</t>
  </si>
  <si>
    <t>Telecommunications Analyst</t>
  </si>
  <si>
    <t>Rebecca Pineda</t>
  </si>
  <si>
    <t>Catering Manager</t>
  </si>
  <si>
    <t>Audra Hubbard</t>
  </si>
  <si>
    <t>Maid</t>
  </si>
  <si>
    <t>Kathy Fuller</t>
  </si>
  <si>
    <t>Firmware Engineer</t>
  </si>
  <si>
    <t>Miranda Bell</t>
  </si>
  <si>
    <t>Clinical Research Associate</t>
  </si>
  <si>
    <t>Fernando Walton</t>
  </si>
  <si>
    <t>Personal Assistant</t>
  </si>
  <si>
    <t>StartDate</t>
  </si>
  <si>
    <t>3 checks: NULLS, single quotes, date columns</t>
  </si>
  <si>
    <t>Has NULL, no single quote</t>
  </si>
  <si>
    <t>Has Null, no single quote</t>
  </si>
  <si>
    <t>No NULL, no single quote</t>
  </si>
  <si>
    <t>VARCHAR MAX LEN: 30</t>
  </si>
  <si>
    <t>VARCHAR MIN LEN: 10</t>
  </si>
  <si>
    <t>4 is null, so always 5</t>
  </si>
  <si>
    <t>CHAR(5)</t>
  </si>
  <si>
    <t>CHAR(12)</t>
  </si>
  <si>
    <t>VARCHAR(15)</t>
  </si>
  <si>
    <t>VARCHAR(30)</t>
  </si>
  <si>
    <t>VARCHAR MAX LEN: 10</t>
  </si>
  <si>
    <t>VARCHAR MIN LEN: 5</t>
  </si>
  <si>
    <t>CHAR(6)</t>
  </si>
  <si>
    <t>VARCHAR MAX LEN: 12</t>
  </si>
  <si>
    <t>VARCHAR MAX LEN: 5</t>
  </si>
  <si>
    <t>VARCHAR MIN LEN: 12</t>
  </si>
  <si>
    <t>VARCHAR(20)</t>
  </si>
  <si>
    <t>Could be CHAR, but since solution from last homework had this as integer I will store as int</t>
  </si>
  <si>
    <t>VARCHAR(10)</t>
  </si>
  <si>
    <t>CHAR(2)</t>
  </si>
  <si>
    <t>int</t>
  </si>
  <si>
    <t>date</t>
  </si>
  <si>
    <t>*This was not actually needed b/c fields were already int</t>
  </si>
  <si>
    <t>single quote, NULL</t>
  </si>
  <si>
    <t>No single quote, no NULL</t>
  </si>
  <si>
    <t>single quote, no NULL</t>
  </si>
  <si>
    <t>no single quote, no NULL</t>
  </si>
  <si>
    <t>Script #2 initial insert</t>
  </si>
  <si>
    <t>Script #2 update</t>
  </si>
  <si>
    <t>Script #3 insert w/ 'NULL'</t>
  </si>
  <si>
    <t>Final Script #3 insert</t>
  </si>
  <si>
    <t>No NULL</t>
  </si>
  <si>
    <t>decimal(3,2)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</si>
</sst>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E83A7-EDF9-4CED-9042-A1DCEDF73CA2}">
  <dimension ref="A1:F35"/>
  <sheetViews>
    <sheetView workbookViewId="0">
      <selection activeCell="E26" sqref="E26"/>
    </sheetView>
  </sheetViews>
  <sheetFormatPr defaultRowHeight="14.5" x14ac:dyDescent="0.35"/>
  <cols>
    <col min="1" max="1" width="26.54296875" bestFit="1" customWidth="1"/>
    <col min="2" max="2" width="22.453125" bestFit="1" customWidth="1"/>
    <col min="3" max="3" width="21.54296875" bestFit="1" customWidth="1"/>
    <col min="4" max="4" width="12.453125" bestFit="1" customWidth="1"/>
    <col min="5" max="5" width="75.81640625" bestFit="1" customWidth="1"/>
    <col min="6" max="6" width="79.08984375" bestFit="1" customWidth="1"/>
  </cols>
  <sheetData>
    <row r="1" spans="1:6" x14ac:dyDescent="0.35">
      <c r="A1" t="s">
        <v>1</v>
      </c>
      <c r="B1" t="s">
        <v>2</v>
      </c>
      <c r="C1" t="s">
        <v>3</v>
      </c>
      <c r="D1" t="s">
        <v>4</v>
      </c>
    </row>
    <row r="2" spans="1:6" x14ac:dyDescent="0.35">
      <c r="A2" t="s">
        <v>5</v>
      </c>
      <c r="B2" t="s">
        <v>6</v>
      </c>
      <c r="C2">
        <v>54249</v>
      </c>
      <c r="D2" t="s">
        <v>7</v>
      </c>
      <c r="E2" s="3" t="str">
        <f>"insert into agency values ('"&amp;A2&amp;"', '"&amp;B2&amp;"', '"&amp;C2&amp;"', '"&amp;D2&amp;"');"</f>
        <v>insert into agency values ('36 West Fabien St.', 'Garland', '54249', '132-544-2171');</v>
      </c>
      <c r="F2" s="2" t="str">
        <f>SUBSTITUTE(E2, "'NULL'", "NULL")</f>
        <v>insert into agency values ('36 West Fabien St.', 'Garland', '54249', '132-544-2171');</v>
      </c>
    </row>
    <row r="3" spans="1:6" x14ac:dyDescent="0.35">
      <c r="A3" t="s">
        <v>8</v>
      </c>
      <c r="B3" t="s">
        <v>9</v>
      </c>
      <c r="C3">
        <v>19481</v>
      </c>
      <c r="D3" t="s">
        <v>10</v>
      </c>
      <c r="E3" s="3" t="str">
        <f t="shared" ref="E3:E26" si="0">"insert into agency values ('"&amp;A3&amp;"', '"&amp;B3&amp;"', '"&amp;C3&amp;"', '"&amp;D3&amp;"');"</f>
        <v>insert into agency values ('935 Nobel Way', 'Milwaukee', '19481', '502-848-3846');</v>
      </c>
      <c r="F3" s="2" t="str">
        <f t="shared" ref="F3:F32" si="1">SUBSTITUTE(E3, "'NULL'", "NULL")</f>
        <v>insert into agency values ('935 Nobel Way', 'Milwaukee', '19481', '502-848-3846');</v>
      </c>
    </row>
    <row r="4" spans="1:6" x14ac:dyDescent="0.35">
      <c r="A4" t="s">
        <v>11</v>
      </c>
      <c r="B4" t="s">
        <v>12</v>
      </c>
      <c r="C4">
        <v>65970</v>
      </c>
      <c r="D4" t="s">
        <v>13</v>
      </c>
      <c r="E4" s="3" t="str">
        <f t="shared" si="0"/>
        <v>insert into agency values ('91 Hague Parkway', 'Atlanta', '65970', '675-551-1687');</v>
      </c>
      <c r="F4" s="2" t="str">
        <f t="shared" si="1"/>
        <v>insert into agency values ('91 Hague Parkway', 'Atlanta', '65970', '675-551-1687');</v>
      </c>
    </row>
    <row r="5" spans="1:6" x14ac:dyDescent="0.35">
      <c r="A5" t="s">
        <v>14</v>
      </c>
      <c r="B5" t="s">
        <v>15</v>
      </c>
      <c r="C5">
        <v>55362</v>
      </c>
      <c r="D5" t="s">
        <v>16</v>
      </c>
      <c r="E5" s="3" t="str">
        <f t="shared" si="0"/>
        <v>insert into agency values ('50 Cowley Avenue', 'Austin', '55362', '696-180-9233');</v>
      </c>
      <c r="F5" s="2" t="str">
        <f t="shared" si="1"/>
        <v>insert into agency values ('50 Cowley Avenue', 'Austin', '55362', '696-180-9233');</v>
      </c>
    </row>
    <row r="6" spans="1:6" x14ac:dyDescent="0.35">
      <c r="A6" t="s">
        <v>17</v>
      </c>
      <c r="B6" t="s">
        <v>18</v>
      </c>
      <c r="C6">
        <v>38927</v>
      </c>
      <c r="D6" t="s">
        <v>19</v>
      </c>
      <c r="E6" s="3" t="str">
        <f t="shared" si="0"/>
        <v>insert into agency values ('525 North Old Parkway', 'Madison', '38927', '170-571-8640');</v>
      </c>
      <c r="F6" s="2" t="str">
        <f t="shared" si="1"/>
        <v>insert into agency values ('525 North Old Parkway', 'Madison', '38927', '170-571-8640');</v>
      </c>
    </row>
    <row r="7" spans="1:6" x14ac:dyDescent="0.35">
      <c r="A7" t="s">
        <v>20</v>
      </c>
      <c r="B7" t="s">
        <v>21</v>
      </c>
      <c r="C7">
        <v>58042</v>
      </c>
      <c r="D7" t="s">
        <v>22</v>
      </c>
      <c r="E7" s="3" t="str">
        <f t="shared" si="0"/>
        <v>insert into agency values ('48 Old Freeway', 'Colorado', '58042', '191-332-7911');</v>
      </c>
      <c r="F7" s="2" t="str">
        <f t="shared" si="1"/>
        <v>insert into agency values ('48 Old Freeway', 'Colorado', '58042', '191-332-7911');</v>
      </c>
    </row>
    <row r="8" spans="1:6" x14ac:dyDescent="0.35">
      <c r="A8" t="s">
        <v>23</v>
      </c>
      <c r="B8" t="s">
        <v>24</v>
      </c>
      <c r="C8">
        <v>37350</v>
      </c>
      <c r="D8" t="s">
        <v>25</v>
      </c>
      <c r="E8" s="3" t="str">
        <f t="shared" si="0"/>
        <v>insert into agency values ('545 New Way', 'Toledo', '37350', '662-418-3332');</v>
      </c>
      <c r="F8" s="2" t="str">
        <f t="shared" si="1"/>
        <v>insert into agency values ('545 New Way', 'Toledo', '37350', '662-418-3332');</v>
      </c>
    </row>
    <row r="9" spans="1:6" x14ac:dyDescent="0.35">
      <c r="A9" t="s">
        <v>26</v>
      </c>
      <c r="B9" t="s">
        <v>27</v>
      </c>
      <c r="C9">
        <v>51393</v>
      </c>
      <c r="D9" t="s">
        <v>28</v>
      </c>
      <c r="E9" s="3" t="str">
        <f t="shared" si="0"/>
        <v>insert into agency values ('80 White New St.', 'Cincinnati', '51393', '057-220-6134');</v>
      </c>
      <c r="F9" s="2" t="str">
        <f t="shared" si="1"/>
        <v>insert into agency values ('80 White New St.', 'Cincinnati', '51393', '057-220-6134');</v>
      </c>
    </row>
    <row r="10" spans="1:6" x14ac:dyDescent="0.35">
      <c r="A10" t="s">
        <v>29</v>
      </c>
      <c r="B10" t="s">
        <v>30</v>
      </c>
      <c r="C10">
        <v>89769</v>
      </c>
      <c r="D10" t="s">
        <v>31</v>
      </c>
      <c r="E10" s="3" t="str">
        <f t="shared" si="0"/>
        <v>insert into agency values ('16 Nobel St.', 'Bakersfield', '89769', '900-896-1551');</v>
      </c>
      <c r="F10" s="2" t="str">
        <f t="shared" si="1"/>
        <v>insert into agency values ('16 Nobel St.', 'Bakersfield', '89769', '900-896-1551');</v>
      </c>
    </row>
    <row r="11" spans="1:6" x14ac:dyDescent="0.35">
      <c r="A11" t="s">
        <v>32</v>
      </c>
      <c r="B11" t="s">
        <v>33</v>
      </c>
      <c r="C11">
        <v>15631</v>
      </c>
      <c r="D11" t="s">
        <v>34</v>
      </c>
      <c r="E11" s="3" t="str">
        <f t="shared" si="0"/>
        <v>insert into agency values ('361 Milton Way', 'El Paso', '15631', '224-581-3669');</v>
      </c>
      <c r="F11" s="2" t="str">
        <f t="shared" si="1"/>
        <v>insert into agency values ('361 Milton Way', 'El Paso', '15631', '224-581-3669');</v>
      </c>
    </row>
    <row r="12" spans="1:6" x14ac:dyDescent="0.35">
      <c r="A12" t="s">
        <v>35</v>
      </c>
      <c r="B12" t="s">
        <v>36</v>
      </c>
      <c r="C12">
        <v>28377</v>
      </c>
      <c r="D12" t="s">
        <v>37</v>
      </c>
      <c r="E12" s="3" t="str">
        <f t="shared" si="0"/>
        <v>insert into agency values ('76 Cowley Way', 'Washington', '28377', '802-482-2700');</v>
      </c>
      <c r="F12" s="2" t="str">
        <f t="shared" si="1"/>
        <v>insert into agency values ('76 Cowley Way', 'Washington', '28377', '802-482-2700');</v>
      </c>
    </row>
    <row r="13" spans="1:6" x14ac:dyDescent="0.35">
      <c r="A13" t="s">
        <v>38</v>
      </c>
      <c r="B13" t="s">
        <v>39</v>
      </c>
      <c r="C13">
        <v>59026</v>
      </c>
      <c r="D13" t="s">
        <v>40</v>
      </c>
      <c r="E13" s="3" t="str">
        <f t="shared" si="0"/>
        <v>insert into agency values ('11 White Second Road', 'Akron', '59026', '362-026-9808');</v>
      </c>
      <c r="F13" s="2" t="str">
        <f t="shared" si="1"/>
        <v>insert into agency values ('11 White Second Road', 'Akron', '59026', '362-026-9808');</v>
      </c>
    </row>
    <row r="14" spans="1:6" x14ac:dyDescent="0.35">
      <c r="A14" t="s">
        <v>41</v>
      </c>
      <c r="B14" t="s">
        <v>42</v>
      </c>
      <c r="C14">
        <v>75242</v>
      </c>
      <c r="D14" t="s">
        <v>43</v>
      </c>
      <c r="E14" s="3" t="str">
        <f t="shared" si="0"/>
        <v>insert into agency values ('39 White New Blvd.', 'Indianapolis', '75242', '526-443-1561');</v>
      </c>
      <c r="F14" s="2" t="str">
        <f t="shared" si="1"/>
        <v>insert into agency values ('39 White New Blvd.', 'Indianapolis', '75242', '526-443-1561');</v>
      </c>
    </row>
    <row r="15" spans="1:6" x14ac:dyDescent="0.35">
      <c r="A15" t="s">
        <v>44</v>
      </c>
      <c r="B15" t="s">
        <v>45</v>
      </c>
      <c r="C15">
        <v>63725</v>
      </c>
      <c r="D15" t="s">
        <v>46</v>
      </c>
      <c r="E15" s="3" t="str">
        <f t="shared" si="0"/>
        <v>insert into agency values ('19 White Fabien Drive', 'Norfolk', '63725', '686-547-4594');</v>
      </c>
      <c r="F15" s="2" t="str">
        <f t="shared" si="1"/>
        <v>insert into agency values ('19 White Fabien Drive', 'Norfolk', '63725', '686-547-4594');</v>
      </c>
    </row>
    <row r="16" spans="1:6" x14ac:dyDescent="0.35">
      <c r="A16" t="s">
        <v>47</v>
      </c>
      <c r="B16" t="s">
        <v>48</v>
      </c>
      <c r="C16">
        <v>57282</v>
      </c>
      <c r="D16" t="s">
        <v>49</v>
      </c>
      <c r="E16" s="3" t="str">
        <f t="shared" si="0"/>
        <v>insert into agency values ('220 East Second Street', 'Louisville', '57282', '326-221-3996');</v>
      </c>
      <c r="F16" s="2" t="str">
        <f t="shared" si="1"/>
        <v>insert into agency values ('220 East Second Street', 'Louisville', '57282', '326-221-3996');</v>
      </c>
    </row>
    <row r="17" spans="1:6" x14ac:dyDescent="0.35">
      <c r="A17" t="s">
        <v>50</v>
      </c>
      <c r="B17" t="s">
        <v>51</v>
      </c>
      <c r="C17">
        <v>19257</v>
      </c>
      <c r="D17" t="s">
        <v>52</v>
      </c>
      <c r="E17" s="3" t="str">
        <f t="shared" si="0"/>
        <v>insert into agency values ('936 North Cowley Boulevard', 'Chicago', '19257', '663-067-5839');</v>
      </c>
      <c r="F17" s="2" t="str">
        <f t="shared" si="1"/>
        <v>insert into agency values ('936 North Cowley Boulevard', 'Chicago', '19257', '663-067-5839');</v>
      </c>
    </row>
    <row r="18" spans="1:6" x14ac:dyDescent="0.35">
      <c r="A18" t="s">
        <v>53</v>
      </c>
      <c r="B18" t="s">
        <v>54</v>
      </c>
      <c r="C18">
        <v>16438</v>
      </c>
      <c r="D18" t="s">
        <v>55</v>
      </c>
      <c r="E18" s="3" t="str">
        <f t="shared" si="0"/>
        <v>insert into agency values ('28 Rocky Oak Road', 'Cleveland', '16438', '505-771-0042');</v>
      </c>
      <c r="F18" s="2" t="str">
        <f t="shared" si="1"/>
        <v>insert into agency values ('28 Rocky Oak Road', 'Cleveland', '16438', '505-771-0042');</v>
      </c>
    </row>
    <row r="19" spans="1:6" x14ac:dyDescent="0.35">
      <c r="A19" t="s">
        <v>56</v>
      </c>
      <c r="B19" t="s">
        <v>57</v>
      </c>
      <c r="C19">
        <v>43995</v>
      </c>
      <c r="D19" t="s">
        <v>58</v>
      </c>
      <c r="E19" s="3" t="str">
        <f t="shared" si="0"/>
        <v>insert into agency values ('641 New Avenue', 'Little Rock', '43995', '491-873-7162');</v>
      </c>
      <c r="F19" s="2" t="str">
        <f t="shared" si="1"/>
        <v>insert into agency values ('641 New Avenue', 'Little Rock', '43995', '491-873-7162');</v>
      </c>
    </row>
    <row r="20" spans="1:6" x14ac:dyDescent="0.35">
      <c r="A20" t="s">
        <v>59</v>
      </c>
      <c r="B20" t="s">
        <v>60</v>
      </c>
      <c r="C20">
        <v>76520</v>
      </c>
      <c r="D20" t="s">
        <v>61</v>
      </c>
      <c r="E20" s="3" t="str">
        <f t="shared" si="0"/>
        <v>insert into agency values ('448 Clarendon Street', 'Dayton', '76520', '266-438-6032');</v>
      </c>
      <c r="F20" s="2" t="str">
        <f t="shared" si="1"/>
        <v>insert into agency values ('448 Clarendon Street', 'Dayton', '76520', '266-438-6032');</v>
      </c>
    </row>
    <row r="21" spans="1:6" x14ac:dyDescent="0.35">
      <c r="A21" t="s">
        <v>62</v>
      </c>
      <c r="B21" t="s">
        <v>63</v>
      </c>
      <c r="C21">
        <v>78335</v>
      </c>
      <c r="D21" t="s">
        <v>64</v>
      </c>
      <c r="E21" s="3" t="str">
        <f t="shared" si="0"/>
        <v>insert into agency values ('790 Cowley Drive', 'Sacramento', '78335', '145-599-2882');</v>
      </c>
      <c r="F21" s="2" t="str">
        <f t="shared" si="1"/>
        <v>insert into agency values ('790 Cowley Drive', 'Sacramento', '78335', '145-599-2882');</v>
      </c>
    </row>
    <row r="22" spans="1:6" x14ac:dyDescent="0.35">
      <c r="A22" t="s">
        <v>65</v>
      </c>
      <c r="B22" t="s">
        <v>66</v>
      </c>
      <c r="C22">
        <v>40842</v>
      </c>
      <c r="D22" t="s">
        <v>67</v>
      </c>
      <c r="E22" s="3" t="str">
        <f t="shared" si="0"/>
        <v>insert into agency values ('458 Rocky Hague Avenue', 'Greensboro', '40842', '650-997-4512');</v>
      </c>
      <c r="F22" s="2" t="str">
        <f t="shared" si="1"/>
        <v>insert into agency values ('458 Rocky Hague Avenue', 'Greensboro', '40842', '650-997-4512');</v>
      </c>
    </row>
    <row r="23" spans="1:6" x14ac:dyDescent="0.35">
      <c r="A23" t="s">
        <v>68</v>
      </c>
      <c r="B23" t="s">
        <v>69</v>
      </c>
      <c r="C23">
        <v>93968</v>
      </c>
      <c r="D23" t="s">
        <v>70</v>
      </c>
      <c r="E23" s="3" t="str">
        <f t="shared" si="0"/>
        <v>insert into agency values ('87 Cowley Boulevard', 'Lincoln', '93968', '133-870-5960');</v>
      </c>
      <c r="F23" s="2" t="str">
        <f t="shared" si="1"/>
        <v>insert into agency values ('87 Cowley Boulevard', 'Lincoln', '93968', '133-870-5960');</v>
      </c>
    </row>
    <row r="24" spans="1:6" x14ac:dyDescent="0.35">
      <c r="A24" t="s">
        <v>71</v>
      </c>
      <c r="B24" t="s">
        <v>72</v>
      </c>
      <c r="C24">
        <v>22968</v>
      </c>
      <c r="D24" t="s">
        <v>73</v>
      </c>
      <c r="E24" s="3" t="str">
        <f t="shared" si="0"/>
        <v>insert into agency values ('41 White Cowley Boulevard', 'St. Louis', '22968', '728-875-7387');</v>
      </c>
      <c r="F24" s="2" t="str">
        <f t="shared" si="1"/>
        <v>insert into agency values ('41 White Cowley Boulevard', 'St. Louis', '22968', '728-875-7387');</v>
      </c>
    </row>
    <row r="25" spans="1:6" x14ac:dyDescent="0.35">
      <c r="A25" t="s">
        <v>74</v>
      </c>
      <c r="B25" t="s">
        <v>75</v>
      </c>
      <c r="C25">
        <v>76373</v>
      </c>
      <c r="D25" t="s">
        <v>76</v>
      </c>
      <c r="E25" s="3" t="str">
        <f t="shared" si="0"/>
        <v>insert into agency values ('727 East Hague Avenue', 'Grand Rapids', '76373', '440-944-7634');</v>
      </c>
      <c r="F25" s="2" t="str">
        <f t="shared" si="1"/>
        <v>insert into agency values ('727 East Hague Avenue', 'Grand Rapids', '76373', '440-944-7634');</v>
      </c>
    </row>
    <row r="26" spans="1:6" x14ac:dyDescent="0.35">
      <c r="A26" t="s">
        <v>77</v>
      </c>
      <c r="B26" t="s">
        <v>78</v>
      </c>
      <c r="C26" t="s">
        <v>79</v>
      </c>
      <c r="D26" t="s">
        <v>80</v>
      </c>
      <c r="E26" s="3" t="str">
        <f t="shared" si="0"/>
        <v>insert into agency values ('21 Nobel Parkway', 'Omaha', 'NULL', '112-647-2543');</v>
      </c>
      <c r="F26" s="2" t="str">
        <f t="shared" si="1"/>
        <v>insert into agency values ('21 Nobel Parkway', 'Omaha', NULL, '112-647-2543');</v>
      </c>
    </row>
    <row r="27" spans="1:6" x14ac:dyDescent="0.35">
      <c r="A27" t="s">
        <v>563</v>
      </c>
      <c r="B27" t="s">
        <v>563</v>
      </c>
      <c r="C27" t="s">
        <v>562</v>
      </c>
      <c r="F27" t="str">
        <f t="shared" si="1"/>
        <v/>
      </c>
    </row>
    <row r="28" spans="1:6" x14ac:dyDescent="0.35">
      <c r="A28" cm="1">
        <f t="array" ref="A28">MAX(LEN(A2:A26))</f>
        <v>26</v>
      </c>
      <c r="B28" cm="1">
        <f t="array" ref="B28">MAX(LEN(B2:B26))</f>
        <v>12</v>
      </c>
      <c r="C28" cm="1">
        <f t="array" ref="C28">MAX(LEN(C2:C26))</f>
        <v>5</v>
      </c>
      <c r="D28" cm="1">
        <f t="array" ref="D28">MAX(LEN(D2:D26))</f>
        <v>12</v>
      </c>
      <c r="F28" t="str">
        <f t="shared" si="1"/>
        <v/>
      </c>
    </row>
    <row r="29" spans="1:6" x14ac:dyDescent="0.35">
      <c r="A29" t="s">
        <v>564</v>
      </c>
      <c r="B29">
        <v>15</v>
      </c>
      <c r="C29">
        <v>5</v>
      </c>
      <c r="D29">
        <v>15</v>
      </c>
      <c r="F29" t="str">
        <f t="shared" si="1"/>
        <v/>
      </c>
    </row>
    <row r="30" spans="1:6" x14ac:dyDescent="0.35">
      <c r="A30" cm="1">
        <f t="array" ref="A30">MIN(LEN(A2:A26))</f>
        <v>11</v>
      </c>
      <c r="B30" cm="1">
        <f t="array" ref="B30">MIN(LEN(B2:B26))</f>
        <v>5</v>
      </c>
      <c r="C30" cm="1">
        <f t="array" ref="C30">MIN(LEN(C2:C26))</f>
        <v>4</v>
      </c>
      <c r="D30" cm="1">
        <f t="array" ref="D30">MIN(LEN(D2:D26))</f>
        <v>12</v>
      </c>
      <c r="F30" t="str">
        <f t="shared" si="1"/>
        <v/>
      </c>
    </row>
    <row r="31" spans="1:6" x14ac:dyDescent="0.35">
      <c r="A31" t="s">
        <v>565</v>
      </c>
      <c r="B31">
        <v>5</v>
      </c>
      <c r="C31" t="s">
        <v>566</v>
      </c>
      <c r="D31">
        <v>15</v>
      </c>
      <c r="F31" t="str">
        <f t="shared" si="1"/>
        <v/>
      </c>
    </row>
    <row r="32" spans="1:6" x14ac:dyDescent="0.35">
      <c r="A32" t="s">
        <v>570</v>
      </c>
      <c r="B32" t="s">
        <v>569</v>
      </c>
      <c r="C32" t="s">
        <v>567</v>
      </c>
      <c r="D32" t="s">
        <v>568</v>
      </c>
      <c r="F32" t="str">
        <f t="shared" si="1"/>
        <v/>
      </c>
    </row>
    <row r="35" spans="1:1" x14ac:dyDescent="0.35">
      <c r="A35" t="s">
        <v>560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64E08-6453-49D8-A25F-7A5D35BE991B}">
  <dimension ref="A1:I63"/>
  <sheetViews>
    <sheetView topLeftCell="A39" workbookViewId="0">
      <selection activeCell="B20" sqref="B20"/>
    </sheetView>
  </sheetViews>
  <sheetFormatPr defaultRowHeight="14.5" x14ac:dyDescent="0.35"/>
  <cols>
    <col min="1" max="1" width="24.36328125" customWidth="1"/>
    <col min="2" max="4" width="22.453125" bestFit="1" customWidth="1"/>
  </cols>
  <sheetData>
    <row r="1" spans="1:9" x14ac:dyDescent="0.35">
      <c r="A1" t="s">
        <v>81</v>
      </c>
      <c r="B1" t="s">
        <v>0</v>
      </c>
      <c r="C1" t="s">
        <v>82</v>
      </c>
      <c r="D1" t="s">
        <v>83</v>
      </c>
    </row>
    <row r="2" spans="1:9" x14ac:dyDescent="0.35">
      <c r="A2">
        <v>1</v>
      </c>
      <c r="B2">
        <v>19</v>
      </c>
      <c r="C2" t="s">
        <v>84</v>
      </c>
      <c r="D2" t="s">
        <v>85</v>
      </c>
      <c r="E2" s="2" t="str">
        <f t="shared" ref="E2:E33" si="0">"insert into systemaccount values ("&amp;A2&amp;", "&amp;B2&amp;", '"&amp;C2&amp;"', '"&amp;D2&amp;"');"</f>
        <v>insert into systemaccount values (1, 19, 'dnfern', 'PI4HLLRV5J14');</v>
      </c>
      <c r="F2" s="2"/>
      <c r="G2" s="2"/>
      <c r="H2" s="2"/>
      <c r="I2" s="2"/>
    </row>
    <row r="3" spans="1:9" x14ac:dyDescent="0.35">
      <c r="A3">
        <v>2</v>
      </c>
      <c r="B3">
        <v>21</v>
      </c>
      <c r="C3" t="s">
        <v>86</v>
      </c>
      <c r="D3" t="s">
        <v>87</v>
      </c>
      <c r="E3" s="2" t="str">
        <f t="shared" si="0"/>
        <v>insert into systemaccount values (2, 21, 'ldsawy', '09OTHAQNY2BT');</v>
      </c>
      <c r="F3" s="2"/>
      <c r="G3" s="2"/>
      <c r="H3" s="2"/>
      <c r="I3" s="2"/>
    </row>
    <row r="4" spans="1:9" x14ac:dyDescent="0.35">
      <c r="A4">
        <v>3</v>
      </c>
      <c r="B4">
        <v>18</v>
      </c>
      <c r="C4" t="s">
        <v>88</v>
      </c>
      <c r="D4" t="s">
        <v>89</v>
      </c>
      <c r="E4" s="2" t="str">
        <f t="shared" si="0"/>
        <v>insert into systemaccount values (3, 18, 'sdweek', '7M1IVF2YLFB1');</v>
      </c>
      <c r="F4" s="2"/>
      <c r="G4" s="2"/>
      <c r="H4" s="2"/>
      <c r="I4" s="2"/>
    </row>
    <row r="5" spans="1:9" x14ac:dyDescent="0.35">
      <c r="A5">
        <v>4</v>
      </c>
      <c r="B5">
        <v>13</v>
      </c>
      <c r="C5" t="s">
        <v>90</v>
      </c>
      <c r="D5" t="s">
        <v>91</v>
      </c>
      <c r="E5" s="2" t="str">
        <f t="shared" si="0"/>
        <v>insert into systemaccount values (4, 13, 'rvdalt', '63KVFBNOG8N3');</v>
      </c>
      <c r="F5" s="2"/>
      <c r="G5" s="2"/>
      <c r="H5" s="2"/>
      <c r="I5" s="2"/>
    </row>
    <row r="6" spans="1:9" x14ac:dyDescent="0.35">
      <c r="A6">
        <v>5</v>
      </c>
      <c r="B6">
        <v>5</v>
      </c>
      <c r="C6" t="s">
        <v>92</v>
      </c>
      <c r="D6" t="s">
        <v>93</v>
      </c>
      <c r="E6" s="2" t="str">
        <f t="shared" si="0"/>
        <v>insert into systemaccount values (5, 5, 'amay  ', 'BVGBSEXR4E65');</v>
      </c>
      <c r="F6" s="2"/>
      <c r="G6" s="2"/>
      <c r="H6" s="2"/>
      <c r="I6" s="2"/>
    </row>
    <row r="7" spans="1:9" x14ac:dyDescent="0.35">
      <c r="A7">
        <v>6</v>
      </c>
      <c r="B7">
        <v>14</v>
      </c>
      <c r="C7" t="s">
        <v>94</v>
      </c>
      <c r="D7" t="s">
        <v>95</v>
      </c>
      <c r="E7" s="2" t="str">
        <f t="shared" si="0"/>
        <v>insert into systemaccount values (6, 14, 'khhens', 'ABOZ054DFMEQ');</v>
      </c>
      <c r="F7" s="2"/>
      <c r="G7" s="2"/>
      <c r="H7" s="2"/>
      <c r="I7" s="2"/>
    </row>
    <row r="8" spans="1:9" x14ac:dyDescent="0.35">
      <c r="A8">
        <v>7</v>
      </c>
      <c r="B8">
        <v>24</v>
      </c>
      <c r="C8" t="s">
        <v>96</v>
      </c>
      <c r="D8" t="s">
        <v>97</v>
      </c>
      <c r="E8" s="2" t="str">
        <f t="shared" si="0"/>
        <v>insert into systemaccount values (7, 24, 'nlockl', '4Y8TYDVOYSOW');</v>
      </c>
      <c r="F8" s="2"/>
      <c r="G8" s="2"/>
      <c r="H8" s="2"/>
      <c r="I8" s="2"/>
    </row>
    <row r="9" spans="1:9" x14ac:dyDescent="0.35">
      <c r="A9">
        <v>8</v>
      </c>
      <c r="B9">
        <v>9</v>
      </c>
      <c r="C9" t="s">
        <v>98</v>
      </c>
      <c r="D9" t="s">
        <v>99</v>
      </c>
      <c r="E9" s="2" t="str">
        <f t="shared" si="0"/>
        <v>insert into systemaccount values (8, 9, 'wrwein', 'XQVZLEKTADGT');</v>
      </c>
      <c r="F9" s="2"/>
      <c r="G9" s="2"/>
      <c r="H9" s="2"/>
      <c r="I9" s="2"/>
    </row>
    <row r="10" spans="1:9" x14ac:dyDescent="0.35">
      <c r="A10">
        <v>9</v>
      </c>
      <c r="B10">
        <v>25</v>
      </c>
      <c r="C10" t="s">
        <v>100</v>
      </c>
      <c r="D10" t="s">
        <v>101</v>
      </c>
      <c r="E10" s="2" t="str">
        <f t="shared" si="0"/>
        <v>insert into systemaccount values (9, 25, 'dross ', '2IFJML1KJ0GP');</v>
      </c>
      <c r="F10" s="2"/>
      <c r="G10" s="2"/>
      <c r="H10" s="2"/>
      <c r="I10" s="2"/>
    </row>
    <row r="11" spans="1:9" x14ac:dyDescent="0.35">
      <c r="A11">
        <v>10</v>
      </c>
      <c r="B11">
        <v>6</v>
      </c>
      <c r="C11" t="s">
        <v>102</v>
      </c>
      <c r="D11" t="s">
        <v>103</v>
      </c>
      <c r="E11" s="2" t="str">
        <f t="shared" si="0"/>
        <v>insert into systemaccount values (10, 6, 'kpbroc', '3OE7ICA4IEQB');</v>
      </c>
      <c r="F11" s="2"/>
      <c r="G11" s="2"/>
      <c r="H11" s="2"/>
      <c r="I11" s="2"/>
    </row>
    <row r="12" spans="1:9" x14ac:dyDescent="0.35">
      <c r="A12">
        <v>11</v>
      </c>
      <c r="B12">
        <v>7</v>
      </c>
      <c r="C12" t="s">
        <v>104</v>
      </c>
      <c r="D12" t="s">
        <v>105</v>
      </c>
      <c r="E12" s="2" t="str">
        <f t="shared" si="0"/>
        <v>insert into systemaccount values (11, 7, 'bmayna', '8WADIXHSY6AH');</v>
      </c>
      <c r="F12" s="2"/>
      <c r="G12" s="2"/>
      <c r="H12" s="2"/>
      <c r="I12" s="2"/>
    </row>
    <row r="13" spans="1:9" x14ac:dyDescent="0.35">
      <c r="A13">
        <v>12</v>
      </c>
      <c r="B13">
        <v>11</v>
      </c>
      <c r="C13" t="s">
        <v>106</v>
      </c>
      <c r="D13" t="s">
        <v>107</v>
      </c>
      <c r="E13" s="2" t="str">
        <f t="shared" si="0"/>
        <v>insert into systemaccount values (12, 11, 'anmcma', '724C1QGGOMAM');</v>
      </c>
      <c r="F13" s="2"/>
      <c r="G13" s="2"/>
      <c r="H13" s="2"/>
      <c r="I13" s="2"/>
    </row>
    <row r="14" spans="1:9" x14ac:dyDescent="0.35">
      <c r="A14">
        <v>13</v>
      </c>
      <c r="B14">
        <v>16</v>
      </c>
      <c r="C14" t="s">
        <v>108</v>
      </c>
      <c r="D14" t="s">
        <v>109</v>
      </c>
      <c r="E14" s="2" t="str">
        <f t="shared" si="0"/>
        <v>insert into systemaccount values (13, 16, 'eselmo', '8E4LCLAADW6J');</v>
      </c>
      <c r="F14" s="2"/>
      <c r="G14" s="2"/>
      <c r="H14" s="2"/>
      <c r="I14" s="2"/>
    </row>
    <row r="15" spans="1:9" x14ac:dyDescent="0.35">
      <c r="A15">
        <v>14</v>
      </c>
      <c r="B15">
        <v>10</v>
      </c>
      <c r="C15" t="s">
        <v>110</v>
      </c>
      <c r="D15" t="s">
        <v>111</v>
      </c>
      <c r="E15" s="2" t="str">
        <f t="shared" si="0"/>
        <v>insert into systemaccount values (14, 10, 'ericha', 'J8T8F7VZHXY7');</v>
      </c>
      <c r="F15" s="2"/>
      <c r="G15" s="2"/>
      <c r="H15" s="2"/>
      <c r="I15" s="2"/>
    </row>
    <row r="16" spans="1:9" x14ac:dyDescent="0.35">
      <c r="A16">
        <v>15</v>
      </c>
      <c r="B16">
        <v>23</v>
      </c>
      <c r="C16" t="s">
        <v>112</v>
      </c>
      <c r="D16" t="s">
        <v>113</v>
      </c>
      <c r="E16" s="2" t="str">
        <f t="shared" si="0"/>
        <v>insert into systemaccount values (15, 23, 'jvjoyc', 'U0AUMQJXGL3V');</v>
      </c>
      <c r="F16" s="2"/>
      <c r="G16" s="2"/>
      <c r="H16" s="2"/>
      <c r="I16" s="2"/>
    </row>
    <row r="17" spans="1:9" x14ac:dyDescent="0.35">
      <c r="A17">
        <v>16</v>
      </c>
      <c r="B17">
        <v>1</v>
      </c>
      <c r="C17" t="s">
        <v>114</v>
      </c>
      <c r="D17" t="s">
        <v>115</v>
      </c>
      <c r="E17" s="2" t="str">
        <f t="shared" si="0"/>
        <v>insert into systemaccount values (16, 1, 'twater', 'POUKL19LJFGT');</v>
      </c>
      <c r="F17" s="2"/>
      <c r="G17" s="2"/>
      <c r="H17" s="2"/>
      <c r="I17" s="2"/>
    </row>
    <row r="18" spans="1:9" x14ac:dyDescent="0.35">
      <c r="A18">
        <v>17</v>
      </c>
      <c r="B18">
        <v>20</v>
      </c>
      <c r="C18" t="s">
        <v>116</v>
      </c>
      <c r="D18" t="s">
        <v>117</v>
      </c>
      <c r="E18" s="2" t="str">
        <f t="shared" si="0"/>
        <v>insert into systemaccount values (17, 20, 'mnmonr', 'RVFB7SHT6LZ9');</v>
      </c>
      <c r="F18" s="2"/>
      <c r="G18" s="2"/>
      <c r="H18" s="2"/>
      <c r="I18" s="2"/>
    </row>
    <row r="19" spans="1:9" x14ac:dyDescent="0.35">
      <c r="A19">
        <v>18</v>
      </c>
      <c r="B19">
        <v>22</v>
      </c>
      <c r="C19" t="s">
        <v>118</v>
      </c>
      <c r="D19" t="s">
        <v>119</v>
      </c>
      <c r="E19" s="2" t="str">
        <f t="shared" si="0"/>
        <v>insert into systemaccount values (18, 22, 'jegarr', 'GUAAM31F564V');</v>
      </c>
      <c r="F19" s="2"/>
      <c r="G19" s="2"/>
      <c r="H19" s="2"/>
      <c r="I19" s="2"/>
    </row>
    <row r="20" spans="1:9" x14ac:dyDescent="0.35">
      <c r="A20">
        <v>19</v>
      </c>
      <c r="B20">
        <v>12</v>
      </c>
      <c r="C20" t="s">
        <v>120</v>
      </c>
      <c r="D20" t="s">
        <v>121</v>
      </c>
      <c r="E20" s="2" t="str">
        <f t="shared" si="0"/>
        <v>insert into systemaccount values (19, 12, 'akweis', 'TOOH4JL0102C');</v>
      </c>
      <c r="F20" s="2"/>
      <c r="G20" s="2"/>
      <c r="H20" s="2"/>
      <c r="I20" s="2"/>
    </row>
    <row r="21" spans="1:9" x14ac:dyDescent="0.35">
      <c r="A21">
        <v>20</v>
      </c>
      <c r="B21">
        <v>3</v>
      </c>
      <c r="C21" t="s">
        <v>122</v>
      </c>
      <c r="D21" t="s">
        <v>123</v>
      </c>
      <c r="E21" s="2" t="str">
        <f t="shared" si="0"/>
        <v>insert into systemaccount values (20, 3, 'arcrav', '2C1THPJD4MJ3');</v>
      </c>
      <c r="F21" s="2"/>
      <c r="G21" s="2"/>
      <c r="H21" s="2"/>
      <c r="I21" s="2"/>
    </row>
    <row r="22" spans="1:9" x14ac:dyDescent="0.35">
      <c r="A22">
        <v>21</v>
      </c>
      <c r="B22">
        <v>17</v>
      </c>
      <c r="C22" t="s">
        <v>124</v>
      </c>
      <c r="D22" t="s">
        <v>125</v>
      </c>
      <c r="E22" s="2" t="str">
        <f t="shared" si="0"/>
        <v>insert into systemaccount values (21, 17, 'bbento', 'FJP90VQARLA3');</v>
      </c>
      <c r="F22" s="2"/>
      <c r="G22" s="2"/>
      <c r="H22" s="2"/>
      <c r="I22" s="2"/>
    </row>
    <row r="23" spans="1:9" x14ac:dyDescent="0.35">
      <c r="A23">
        <v>22</v>
      </c>
      <c r="B23">
        <v>15</v>
      </c>
      <c r="C23" t="s">
        <v>126</v>
      </c>
      <c r="D23" t="s">
        <v>127</v>
      </c>
      <c r="E23" s="2" t="str">
        <f t="shared" si="0"/>
        <v>insert into systemaccount values (22, 15, 'eastan', 'ISCDX4C7IDTO');</v>
      </c>
      <c r="F23" s="2"/>
      <c r="G23" s="2"/>
      <c r="H23" s="2"/>
      <c r="I23" s="2"/>
    </row>
    <row r="24" spans="1:9" x14ac:dyDescent="0.35">
      <c r="A24">
        <v>23</v>
      </c>
      <c r="B24">
        <v>8</v>
      </c>
      <c r="C24" t="s">
        <v>128</v>
      </c>
      <c r="D24" t="s">
        <v>129</v>
      </c>
      <c r="E24" s="2" t="str">
        <f t="shared" si="0"/>
        <v>insert into systemaccount values (23, 8, 'cdshel', 'HE60KIDDJ0EW');</v>
      </c>
      <c r="F24" s="2"/>
      <c r="G24" s="2"/>
      <c r="H24" s="2"/>
      <c r="I24" s="2"/>
    </row>
    <row r="25" spans="1:9" x14ac:dyDescent="0.35">
      <c r="A25">
        <v>24</v>
      </c>
      <c r="B25">
        <v>2</v>
      </c>
      <c r="C25" t="s">
        <v>130</v>
      </c>
      <c r="D25" t="s">
        <v>131</v>
      </c>
      <c r="E25" s="2" t="str">
        <f t="shared" si="0"/>
        <v>insert into systemaccount values (24, 2, 'gpcurr', 'PV053QM1JTZY');</v>
      </c>
      <c r="F25" s="2"/>
      <c r="G25" s="2"/>
      <c r="H25" s="2"/>
      <c r="I25" s="2"/>
    </row>
    <row r="26" spans="1:9" x14ac:dyDescent="0.35">
      <c r="A26">
        <v>25</v>
      </c>
      <c r="B26">
        <v>4</v>
      </c>
      <c r="C26" t="s">
        <v>132</v>
      </c>
      <c r="D26" t="s">
        <v>133</v>
      </c>
      <c r="E26" s="2" t="str">
        <f t="shared" si="0"/>
        <v>insert into systemaccount values (25, 4, 'repuck', 'FPJDHDB3LIZR');</v>
      </c>
      <c r="F26" s="2"/>
      <c r="G26" s="2"/>
      <c r="H26" s="2"/>
      <c r="I26" s="2"/>
    </row>
    <row r="27" spans="1:9" x14ac:dyDescent="0.35">
      <c r="A27">
        <v>26</v>
      </c>
      <c r="B27">
        <v>19</v>
      </c>
      <c r="C27" t="s">
        <v>134</v>
      </c>
      <c r="D27" t="s">
        <v>135</v>
      </c>
      <c r="E27" s="2" t="str">
        <f t="shared" si="0"/>
        <v>insert into systemaccount values (26, 19, 'tooakl', 'N0BK0B67KWIE');</v>
      </c>
      <c r="F27" s="2"/>
      <c r="G27" s="2"/>
      <c r="H27" s="2"/>
      <c r="I27" s="2"/>
    </row>
    <row r="28" spans="1:9" x14ac:dyDescent="0.35">
      <c r="A28">
        <v>27</v>
      </c>
      <c r="B28">
        <v>21</v>
      </c>
      <c r="C28" t="s">
        <v>136</v>
      </c>
      <c r="D28" t="s">
        <v>137</v>
      </c>
      <c r="E28" s="2" t="str">
        <f t="shared" si="0"/>
        <v>insert into systemaccount values (27, 21, 'djlync', 'QBWC3LYSUSIU');</v>
      </c>
      <c r="F28" s="2"/>
      <c r="G28" s="2"/>
      <c r="H28" s="2"/>
      <c r="I28" s="2"/>
    </row>
    <row r="29" spans="1:9" x14ac:dyDescent="0.35">
      <c r="A29">
        <v>28</v>
      </c>
      <c r="B29">
        <v>18</v>
      </c>
      <c r="C29" t="s">
        <v>138</v>
      </c>
      <c r="D29" t="s">
        <v>139</v>
      </c>
      <c r="E29" s="2" t="str">
        <f t="shared" si="0"/>
        <v>insert into systemaccount values (28, 18, 'ldnixo', '3LXVTGB88KK0');</v>
      </c>
      <c r="F29" s="2"/>
      <c r="G29" s="2"/>
      <c r="H29" s="2"/>
      <c r="I29" s="2"/>
    </row>
    <row r="30" spans="1:9" x14ac:dyDescent="0.35">
      <c r="A30">
        <v>29</v>
      </c>
      <c r="B30">
        <v>13</v>
      </c>
      <c r="C30" t="s">
        <v>140</v>
      </c>
      <c r="D30" t="s">
        <v>141</v>
      </c>
      <c r="E30" s="2" t="str">
        <f t="shared" si="0"/>
        <v>insert into systemaccount values (29, 13, 'bjwalt', 'MQNO4Y8KV0SW');</v>
      </c>
      <c r="F30" s="2"/>
      <c r="G30" s="2"/>
      <c r="H30" s="2"/>
      <c r="I30" s="2"/>
    </row>
    <row r="31" spans="1:9" x14ac:dyDescent="0.35">
      <c r="A31">
        <v>30</v>
      </c>
      <c r="B31">
        <v>5</v>
      </c>
      <c r="C31" t="s">
        <v>142</v>
      </c>
      <c r="D31" t="s">
        <v>143</v>
      </c>
      <c r="E31" s="2" t="str">
        <f t="shared" si="0"/>
        <v>insert into systemaccount values (30, 5, 'kqmatt', 'U32T0PX90URG');</v>
      </c>
      <c r="F31" s="2"/>
      <c r="G31" s="2"/>
      <c r="H31" s="2"/>
      <c r="I31" s="2"/>
    </row>
    <row r="32" spans="1:9" x14ac:dyDescent="0.35">
      <c r="A32">
        <v>31</v>
      </c>
      <c r="B32">
        <v>14</v>
      </c>
      <c r="C32" t="s">
        <v>144</v>
      </c>
      <c r="D32" t="s">
        <v>145</v>
      </c>
      <c r="E32" s="2" t="str">
        <f t="shared" si="0"/>
        <v>insert into systemaccount values (31, 14, 'trfull', '5TDUFAOHMAZG');</v>
      </c>
      <c r="F32" s="2"/>
      <c r="G32" s="2"/>
      <c r="H32" s="2"/>
      <c r="I32" s="2"/>
    </row>
    <row r="33" spans="1:9" x14ac:dyDescent="0.35">
      <c r="A33">
        <v>32</v>
      </c>
      <c r="B33">
        <v>24</v>
      </c>
      <c r="C33" t="s">
        <v>146</v>
      </c>
      <c r="D33" t="s">
        <v>147</v>
      </c>
      <c r="E33" s="2" t="str">
        <f t="shared" si="0"/>
        <v>insert into systemaccount values (32, 24, 'tkdani', 'RYJ3TZJH12KK');</v>
      </c>
      <c r="F33" s="2"/>
      <c r="G33" s="2"/>
      <c r="H33" s="2"/>
      <c r="I33" s="2"/>
    </row>
    <row r="34" spans="1:9" x14ac:dyDescent="0.35">
      <c r="A34">
        <v>33</v>
      </c>
      <c r="B34">
        <v>9</v>
      </c>
      <c r="C34" t="s">
        <v>148</v>
      </c>
      <c r="D34" t="s">
        <v>149</v>
      </c>
      <c r="E34" s="2" t="str">
        <f t="shared" ref="E34:E65" si="1">"insert into systemaccount values ("&amp;A34&amp;", "&amp;B34&amp;", '"&amp;C34&amp;"', '"&amp;D34&amp;"');"</f>
        <v>insert into systemaccount values (33, 9, 'gzglov', '6B4LICOF91JM');</v>
      </c>
      <c r="F34" s="2"/>
      <c r="G34" s="2"/>
      <c r="H34" s="2"/>
      <c r="I34" s="2"/>
    </row>
    <row r="35" spans="1:9" x14ac:dyDescent="0.35">
      <c r="A35">
        <v>34</v>
      </c>
      <c r="B35">
        <v>25</v>
      </c>
      <c r="C35" t="s">
        <v>150</v>
      </c>
      <c r="D35" t="s">
        <v>151</v>
      </c>
      <c r="E35" s="2" t="str">
        <f t="shared" si="1"/>
        <v>insert into systemaccount values (34, 25, 'eggran', 'C1ANVXY3PG5X');</v>
      </c>
      <c r="F35" s="2"/>
      <c r="G35" s="2"/>
      <c r="H35" s="2"/>
      <c r="I35" s="2"/>
    </row>
    <row r="36" spans="1:9" x14ac:dyDescent="0.35">
      <c r="A36">
        <v>35</v>
      </c>
      <c r="B36">
        <v>6</v>
      </c>
      <c r="C36" t="s">
        <v>152</v>
      </c>
      <c r="D36" t="s">
        <v>153</v>
      </c>
      <c r="E36" s="2" t="str">
        <f t="shared" si="1"/>
        <v>insert into systemaccount values (35, 6, 'rzhang', '0V8TJ1BMORT0');</v>
      </c>
      <c r="F36" s="2"/>
      <c r="G36" s="2"/>
      <c r="H36" s="2"/>
      <c r="I36" s="2"/>
    </row>
    <row r="37" spans="1:9" x14ac:dyDescent="0.35">
      <c r="A37">
        <v>36</v>
      </c>
      <c r="B37">
        <v>7</v>
      </c>
      <c r="C37" t="s">
        <v>154</v>
      </c>
      <c r="D37" t="s">
        <v>155</v>
      </c>
      <c r="E37" s="2" t="str">
        <f t="shared" si="1"/>
        <v>insert into systemaccount values (36, 7, 'jdbrad', '0YRJ0OS2AKB8');</v>
      </c>
      <c r="F37" s="2"/>
      <c r="G37" s="2"/>
      <c r="H37" s="2"/>
      <c r="I37" s="2"/>
    </row>
    <row r="38" spans="1:9" x14ac:dyDescent="0.35">
      <c r="A38">
        <v>37</v>
      </c>
      <c r="B38">
        <v>11</v>
      </c>
      <c r="C38" t="s">
        <v>156</v>
      </c>
      <c r="D38" t="s">
        <v>157</v>
      </c>
      <c r="E38" s="2" t="str">
        <f t="shared" si="1"/>
        <v>insert into systemaccount values (37, 11, 'hzwu  ', 'OUR3LNXD01G6');</v>
      </c>
      <c r="F38" s="2"/>
      <c r="G38" s="2"/>
      <c r="H38" s="2"/>
      <c r="I38" s="2"/>
    </row>
    <row r="39" spans="1:9" x14ac:dyDescent="0.35">
      <c r="A39">
        <v>38</v>
      </c>
      <c r="B39">
        <v>16</v>
      </c>
      <c r="C39" t="s">
        <v>158</v>
      </c>
      <c r="D39" t="s">
        <v>159</v>
      </c>
      <c r="E39" s="2" t="str">
        <f t="shared" si="1"/>
        <v>insert into systemaccount values (38, 16, 'hkwhit', 'OOSY78J02HT1');</v>
      </c>
      <c r="F39" s="2"/>
      <c r="G39" s="2"/>
      <c r="H39" s="2"/>
      <c r="I39" s="2"/>
    </row>
    <row r="40" spans="1:9" x14ac:dyDescent="0.35">
      <c r="A40">
        <v>39</v>
      </c>
      <c r="B40">
        <v>10</v>
      </c>
      <c r="C40" t="s">
        <v>160</v>
      </c>
      <c r="D40" t="s">
        <v>161</v>
      </c>
      <c r="E40" s="2" t="str">
        <f t="shared" si="1"/>
        <v>insert into systemaccount values (39, 10, 'lpwolf', 'HSS37AOIQ1SL');</v>
      </c>
      <c r="F40" s="2"/>
      <c r="G40" s="2"/>
      <c r="H40" s="2"/>
      <c r="I40" s="2"/>
    </row>
    <row r="41" spans="1:9" x14ac:dyDescent="0.35">
      <c r="A41">
        <v>40</v>
      </c>
      <c r="B41">
        <v>23</v>
      </c>
      <c r="C41" t="s">
        <v>162</v>
      </c>
      <c r="D41" t="s">
        <v>163</v>
      </c>
      <c r="E41" s="2" t="str">
        <f t="shared" si="1"/>
        <v>insert into systemaccount values (40, 23, 'bscope', 'HQ3BANIP61Z2');</v>
      </c>
      <c r="F41" s="2"/>
      <c r="G41" s="2"/>
      <c r="H41" s="2"/>
      <c r="I41" s="2"/>
    </row>
    <row r="42" spans="1:9" x14ac:dyDescent="0.35">
      <c r="A42">
        <v>41</v>
      </c>
      <c r="B42">
        <v>1</v>
      </c>
      <c r="C42" t="s">
        <v>164</v>
      </c>
      <c r="D42" t="s">
        <v>165</v>
      </c>
      <c r="E42" s="2" t="str">
        <f t="shared" si="1"/>
        <v>insert into systemaccount values (41, 1, 'rpsell', 'R5CD28HYQDZL');</v>
      </c>
      <c r="F42" s="2"/>
      <c r="G42" s="2"/>
      <c r="H42" s="2"/>
      <c r="I42" s="2"/>
    </row>
    <row r="43" spans="1:9" x14ac:dyDescent="0.35">
      <c r="A43">
        <v>42</v>
      </c>
      <c r="B43">
        <v>20</v>
      </c>
      <c r="C43" t="s">
        <v>166</v>
      </c>
      <c r="D43" t="s">
        <v>167</v>
      </c>
      <c r="E43" s="2" t="str">
        <f t="shared" si="1"/>
        <v>insert into systemaccount values (42, 20, 'nzrobi', '0O7JJNIIXEF1');</v>
      </c>
      <c r="F43" s="2"/>
      <c r="G43" s="2"/>
      <c r="H43" s="2"/>
      <c r="I43" s="2"/>
    </row>
    <row r="44" spans="1:9" x14ac:dyDescent="0.35">
      <c r="A44">
        <v>43</v>
      </c>
      <c r="B44">
        <v>22</v>
      </c>
      <c r="C44" t="s">
        <v>168</v>
      </c>
      <c r="D44" t="s">
        <v>169</v>
      </c>
      <c r="E44" s="2" t="str">
        <f t="shared" si="1"/>
        <v>insert into systemaccount values (43, 22, 'tdhunt', 'NB7GV5Y8ZMBL');</v>
      </c>
      <c r="F44" s="2"/>
      <c r="G44" s="2"/>
      <c r="H44" s="2"/>
      <c r="I44" s="2"/>
    </row>
    <row r="45" spans="1:9" x14ac:dyDescent="0.35">
      <c r="A45">
        <v>44</v>
      </c>
      <c r="B45">
        <v>12</v>
      </c>
      <c r="C45" t="s">
        <v>170</v>
      </c>
      <c r="D45" t="s">
        <v>171</v>
      </c>
      <c r="E45" s="2" t="str">
        <f t="shared" si="1"/>
        <v>insert into systemaccount values (44, 12, 'jlfinc', '1I6YGWPZ8HFM');</v>
      </c>
      <c r="F45" s="2"/>
      <c r="G45" s="2"/>
      <c r="H45" s="2"/>
      <c r="I45" s="2"/>
    </row>
    <row r="46" spans="1:9" x14ac:dyDescent="0.35">
      <c r="A46">
        <v>45</v>
      </c>
      <c r="B46">
        <v>3</v>
      </c>
      <c r="C46" t="s">
        <v>172</v>
      </c>
      <c r="D46" t="s">
        <v>173</v>
      </c>
      <c r="E46" s="2" t="str">
        <f t="shared" si="1"/>
        <v>insert into systemaccount values (45, 3, 'sopate', 'G73OSN2Q4XRV');</v>
      </c>
      <c r="F46" s="2"/>
      <c r="G46" s="2"/>
      <c r="H46" s="2"/>
      <c r="I46" s="2"/>
    </row>
    <row r="47" spans="1:9" x14ac:dyDescent="0.35">
      <c r="A47">
        <v>46</v>
      </c>
      <c r="B47">
        <v>17</v>
      </c>
      <c r="C47" t="s">
        <v>174</v>
      </c>
      <c r="D47" t="s">
        <v>175</v>
      </c>
      <c r="E47" s="2" t="str">
        <f t="shared" si="1"/>
        <v>insert into systemaccount values (46, 17, 'bqwu  ', '4XIFLK16E3KI');</v>
      </c>
      <c r="F47" s="2"/>
      <c r="G47" s="2"/>
      <c r="H47" s="2"/>
      <c r="I47" s="2"/>
    </row>
    <row r="48" spans="1:9" x14ac:dyDescent="0.35">
      <c r="A48">
        <v>47</v>
      </c>
      <c r="B48">
        <v>15</v>
      </c>
      <c r="C48" t="s">
        <v>176</v>
      </c>
      <c r="D48" t="s">
        <v>177</v>
      </c>
      <c r="E48" s="2" t="str">
        <f t="shared" si="1"/>
        <v>insert into systemaccount values (47, 15, 'lmbend', 'AG3LKTEITBM4');</v>
      </c>
      <c r="F48" s="2"/>
      <c r="G48" s="2"/>
      <c r="H48" s="2"/>
      <c r="I48" s="2"/>
    </row>
    <row r="49" spans="1:9" x14ac:dyDescent="0.35">
      <c r="A49">
        <v>48</v>
      </c>
      <c r="B49">
        <v>8</v>
      </c>
      <c r="C49" t="s">
        <v>178</v>
      </c>
      <c r="D49" t="s">
        <v>179</v>
      </c>
      <c r="E49" s="2" t="str">
        <f t="shared" si="1"/>
        <v>insert into systemaccount values (48, 8, 'mkrich', 'HTEWVPN75LUU');</v>
      </c>
      <c r="F49" s="2"/>
      <c r="G49" s="2"/>
      <c r="H49" s="2"/>
      <c r="I49" s="2"/>
    </row>
    <row r="50" spans="1:9" x14ac:dyDescent="0.35">
      <c r="A50">
        <v>49</v>
      </c>
      <c r="B50">
        <v>2</v>
      </c>
      <c r="C50" t="s">
        <v>180</v>
      </c>
      <c r="D50" t="s">
        <v>181</v>
      </c>
      <c r="E50" s="2" t="str">
        <f t="shared" si="1"/>
        <v>insert into systemaccount values (49, 2, 'suhorn', 'JQM6EB6MELG9');</v>
      </c>
      <c r="F50" s="2"/>
      <c r="G50" s="2"/>
      <c r="H50" s="2"/>
      <c r="I50" s="2"/>
    </row>
    <row r="51" spans="1:9" x14ac:dyDescent="0.35">
      <c r="A51">
        <v>50</v>
      </c>
      <c r="B51">
        <v>4</v>
      </c>
      <c r="C51" t="s">
        <v>182</v>
      </c>
      <c r="D51" t="s">
        <v>183</v>
      </c>
      <c r="E51" s="2" t="str">
        <f t="shared" si="1"/>
        <v>insert into systemaccount values (50, 4, 'jilass', 'MKH3UDW3LZOA');</v>
      </c>
      <c r="F51" s="2"/>
      <c r="G51" s="2"/>
      <c r="H51" s="2"/>
      <c r="I51" s="2"/>
    </row>
    <row r="52" spans="1:9" x14ac:dyDescent="0.35">
      <c r="A52">
        <v>51</v>
      </c>
      <c r="B52">
        <v>19</v>
      </c>
      <c r="C52" t="s">
        <v>184</v>
      </c>
      <c r="D52" t="s">
        <v>185</v>
      </c>
      <c r="E52" s="2" t="str">
        <f t="shared" si="1"/>
        <v>insert into systemaccount values (51, 19, 'lnjose', 'KJEO045QU44Q');</v>
      </c>
      <c r="F52" s="2"/>
      <c r="G52" s="2"/>
      <c r="H52" s="2"/>
      <c r="I52" s="2"/>
    </row>
    <row r="53" spans="1:9" x14ac:dyDescent="0.35">
      <c r="A53">
        <v>52</v>
      </c>
      <c r="B53">
        <v>21</v>
      </c>
      <c r="C53" t="s">
        <v>186</v>
      </c>
      <c r="D53" t="s">
        <v>187</v>
      </c>
      <c r="E53" s="2" t="str">
        <f t="shared" si="1"/>
        <v>insert into systemaccount values (52, 21, 'jubart', '3R22DX77QB9F');</v>
      </c>
      <c r="F53" s="2"/>
      <c r="G53" s="2"/>
      <c r="H53" s="2"/>
      <c r="I53" s="2"/>
    </row>
    <row r="54" spans="1:9" x14ac:dyDescent="0.35">
      <c r="A54">
        <v>53</v>
      </c>
      <c r="B54">
        <v>18</v>
      </c>
      <c r="C54" t="s">
        <v>188</v>
      </c>
      <c r="D54" t="s">
        <v>189</v>
      </c>
      <c r="E54" s="2" t="str">
        <f t="shared" si="1"/>
        <v>insert into systemaccount values (53, 18, 'mnwhit', 'BYEOSYON6ZEE');</v>
      </c>
      <c r="F54" s="2"/>
      <c r="G54" s="2"/>
      <c r="H54" s="2"/>
      <c r="I54" s="2"/>
    </row>
    <row r="55" spans="1:9" x14ac:dyDescent="0.35">
      <c r="A55">
        <v>54</v>
      </c>
      <c r="B55">
        <v>13</v>
      </c>
      <c r="C55" t="s">
        <v>190</v>
      </c>
      <c r="D55" t="s">
        <v>191</v>
      </c>
      <c r="E55" s="2" t="str">
        <f t="shared" si="1"/>
        <v>insert into systemaccount values (54, 13, 'aumcdo', '9K6W93N9KRWV');</v>
      </c>
      <c r="F55" s="2"/>
      <c r="G55" s="2"/>
      <c r="H55" s="2"/>
      <c r="I55" s="2"/>
    </row>
    <row r="56" spans="1:9" x14ac:dyDescent="0.35">
      <c r="A56">
        <v>55</v>
      </c>
      <c r="B56">
        <v>5</v>
      </c>
      <c r="C56" t="s">
        <v>192</v>
      </c>
      <c r="D56" t="s">
        <v>193</v>
      </c>
      <c r="E56" s="2" t="str">
        <f t="shared" si="1"/>
        <v>insert into systemaccount values (55, 5, 'phsong', 'ROVMHCYVS102');</v>
      </c>
      <c r="F56" s="2"/>
      <c r="G56" s="2"/>
      <c r="H56" s="2"/>
      <c r="I56" s="2"/>
    </row>
    <row r="57" spans="1:9" x14ac:dyDescent="0.35">
      <c r="A57" t="s">
        <v>563</v>
      </c>
      <c r="B57" t="s">
        <v>563</v>
      </c>
      <c r="C57" t="s">
        <v>563</v>
      </c>
      <c r="D57" t="s">
        <v>563</v>
      </c>
    </row>
    <row r="58" spans="1:9" x14ac:dyDescent="0.35">
      <c r="C58" cm="1">
        <f t="array" ref="C58">MAX(LEN(C2:C56))</f>
        <v>6</v>
      </c>
      <c r="D58" cm="1">
        <f t="array" ref="D58">MAX(LEN(D2:D56))</f>
        <v>12</v>
      </c>
    </row>
    <row r="59" spans="1:9" x14ac:dyDescent="0.35">
      <c r="C59" t="s">
        <v>571</v>
      </c>
      <c r="D59">
        <v>15</v>
      </c>
    </row>
    <row r="60" spans="1:9" x14ac:dyDescent="0.35">
      <c r="C60" cm="1">
        <f t="array" ref="C60">MIN(LEN(C2:C56))</f>
        <v>6</v>
      </c>
      <c r="D60" cm="1">
        <f t="array" ref="D60">MIN(LEN(D2:D56))</f>
        <v>12</v>
      </c>
    </row>
    <row r="61" spans="1:9" x14ac:dyDescent="0.35">
      <c r="C61" t="s">
        <v>572</v>
      </c>
      <c r="D61">
        <v>10</v>
      </c>
    </row>
    <row r="62" spans="1:9" x14ac:dyDescent="0.35">
      <c r="A62" t="s">
        <v>560</v>
      </c>
      <c r="C62" t="s">
        <v>573</v>
      </c>
      <c r="D62" t="s">
        <v>568</v>
      </c>
    </row>
    <row r="63" spans="1:9" x14ac:dyDescent="0.35">
      <c r="A63" t="s">
        <v>581</v>
      </c>
      <c r="B63" t="s">
        <v>581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39192-3A64-4B42-881C-13756BCBB56A}">
  <dimension ref="A1:K134"/>
  <sheetViews>
    <sheetView topLeftCell="C55" workbookViewId="0">
      <selection activeCell="D126" sqref="D126"/>
    </sheetView>
  </sheetViews>
  <sheetFormatPr defaultRowHeight="14.5" x14ac:dyDescent="0.35"/>
  <cols>
    <col min="1" max="1" width="8.1796875" bestFit="1" customWidth="1"/>
    <col min="2" max="2" width="9.26953125" bestFit="1" customWidth="1"/>
    <col min="3" max="3" width="9.54296875" bestFit="1" customWidth="1"/>
    <col min="4" max="4" width="16.54296875" bestFit="1" customWidth="1"/>
    <col min="5" max="5" width="10.7265625" bestFit="1" customWidth="1"/>
    <col min="6" max="6" width="55.7265625" bestFit="1" customWidth="1"/>
  </cols>
  <sheetData>
    <row r="1" spans="1:11" x14ac:dyDescent="0.35">
      <c r="A1" t="s">
        <v>194</v>
      </c>
      <c r="B1" t="s">
        <v>0</v>
      </c>
      <c r="C1" t="s">
        <v>195</v>
      </c>
      <c r="D1" t="s">
        <v>196</v>
      </c>
      <c r="E1" t="s">
        <v>197</v>
      </c>
    </row>
    <row r="2" spans="1:11" x14ac:dyDescent="0.35">
      <c r="A2">
        <v>1</v>
      </c>
      <c r="B2">
        <v>19</v>
      </c>
      <c r="C2">
        <v>68779</v>
      </c>
      <c r="D2">
        <v>14023120</v>
      </c>
      <c r="E2" s="1">
        <v>44539</v>
      </c>
      <c r="F2" s="3" t="str">
        <f>"insert into policy values ("&amp;A2&amp;", "&amp;B2&amp;", "&amp;C2&amp;", "&amp;D2&amp;", '"&amp;IF(E2="NULL",E2,YEAR(E2)&amp;"/"&amp;MONTH(E2)&amp;"/"&amp;DAY(E2))&amp;"');"</f>
        <v>insert into policy values (1, 19, 68779, 14023120, '2021/12/9');</v>
      </c>
      <c r="G2" s="2" t="str">
        <f t="shared" ref="G2:G33" si="0">SUBSTITUTE(F2, "'NULL'", "NULL" )</f>
        <v>insert into policy values (1, 19, 68779, 14023120, '2021/12/9');</v>
      </c>
      <c r="H2" s="2"/>
      <c r="I2" s="2"/>
      <c r="J2" s="2"/>
      <c r="K2" s="2"/>
    </row>
    <row r="3" spans="1:11" x14ac:dyDescent="0.35">
      <c r="A3">
        <v>2</v>
      </c>
      <c r="B3">
        <v>21</v>
      </c>
      <c r="C3">
        <v>81393</v>
      </c>
      <c r="D3">
        <v>6644730</v>
      </c>
      <c r="E3" s="1">
        <v>44573</v>
      </c>
      <c r="F3" s="3" t="str">
        <f t="shared" ref="F3:F66" si="1">"insert into policy values ("&amp;A3&amp;", "&amp;B3&amp;", "&amp;C3&amp;", "&amp;D3&amp;", '"&amp;IF(E3="NULL",E3,YEAR(E3)&amp;"/"&amp;MONTH(E3)&amp;"/"&amp;DAY(E3))&amp;"');"</f>
        <v>insert into policy values (2, 21, 81393, 6644730, '2022/1/12');</v>
      </c>
      <c r="G3" s="2" t="str">
        <f t="shared" si="0"/>
        <v>insert into policy values (2, 21, 81393, 6644730, '2022/1/12');</v>
      </c>
      <c r="H3" s="2"/>
      <c r="I3" s="2"/>
      <c r="J3" s="2"/>
      <c r="K3" s="2"/>
    </row>
    <row r="4" spans="1:11" x14ac:dyDescent="0.35">
      <c r="A4">
        <v>3</v>
      </c>
      <c r="B4">
        <v>20</v>
      </c>
      <c r="C4">
        <v>72224</v>
      </c>
      <c r="D4">
        <v>13929383</v>
      </c>
      <c r="E4" s="1">
        <v>44231</v>
      </c>
      <c r="F4" s="3" t="str">
        <f t="shared" si="1"/>
        <v>insert into policy values (3, 20, 72224, 13929383, '2021/2/4');</v>
      </c>
      <c r="G4" s="2" t="str">
        <f t="shared" si="0"/>
        <v>insert into policy values (3, 20, 72224, 13929383, '2021/2/4');</v>
      </c>
      <c r="H4" s="2"/>
      <c r="I4" s="2"/>
      <c r="J4" s="2"/>
      <c r="K4" s="2"/>
    </row>
    <row r="5" spans="1:11" x14ac:dyDescent="0.35">
      <c r="A5">
        <v>4</v>
      </c>
      <c r="B5">
        <v>14</v>
      </c>
      <c r="C5">
        <v>57055</v>
      </c>
      <c r="D5">
        <v>2500144</v>
      </c>
      <c r="E5" s="1">
        <v>45379</v>
      </c>
      <c r="F5" s="3" t="str">
        <f t="shared" si="1"/>
        <v>insert into policy values (4, 14, 57055, 2500144, '2024/3/28');</v>
      </c>
      <c r="G5" s="2" t="str">
        <f t="shared" si="0"/>
        <v>insert into policy values (4, 14, 57055, 2500144, '2024/3/28');</v>
      </c>
      <c r="H5" s="2"/>
      <c r="I5" s="2"/>
      <c r="J5" s="2"/>
      <c r="K5" s="2"/>
    </row>
    <row r="6" spans="1:11" x14ac:dyDescent="0.35">
      <c r="A6">
        <v>5</v>
      </c>
      <c r="B6">
        <v>6</v>
      </c>
      <c r="C6">
        <v>23054</v>
      </c>
      <c r="D6">
        <v>15085634</v>
      </c>
      <c r="E6" s="1">
        <v>45038</v>
      </c>
      <c r="F6" s="3" t="str">
        <f t="shared" si="1"/>
        <v>insert into policy values (5, 6, 23054, 15085634, '2023/4/22');</v>
      </c>
      <c r="G6" s="2" t="str">
        <f t="shared" si="0"/>
        <v>insert into policy values (5, 6, 23054, 15085634, '2023/4/22');</v>
      </c>
      <c r="H6" s="2"/>
      <c r="I6" s="2"/>
      <c r="J6" s="2"/>
      <c r="K6" s="2"/>
    </row>
    <row r="7" spans="1:11" x14ac:dyDescent="0.35">
      <c r="A7">
        <v>6</v>
      </c>
      <c r="B7">
        <v>14</v>
      </c>
      <c r="C7">
        <v>57055</v>
      </c>
      <c r="D7">
        <v>1177892</v>
      </c>
      <c r="E7" s="1">
        <v>45686</v>
      </c>
      <c r="F7" s="3" t="str">
        <f t="shared" si="1"/>
        <v>insert into policy values (6, 14, 57055, 1177892, '2025/1/29');</v>
      </c>
      <c r="G7" s="2" t="str">
        <f t="shared" si="0"/>
        <v>insert into policy values (6, 14, 57055, 1177892, '2025/1/29');</v>
      </c>
      <c r="H7" s="2"/>
      <c r="I7" s="2"/>
      <c r="J7" s="2"/>
      <c r="K7" s="2"/>
    </row>
    <row r="8" spans="1:11" x14ac:dyDescent="0.35">
      <c r="A8">
        <v>7</v>
      </c>
      <c r="B8">
        <v>23</v>
      </c>
      <c r="C8">
        <v>87051</v>
      </c>
      <c r="D8">
        <v>8560691</v>
      </c>
      <c r="E8" s="1">
        <v>44350</v>
      </c>
      <c r="F8" s="3" t="str">
        <f t="shared" si="1"/>
        <v>insert into policy values (7, 23, 87051, 8560691, '2021/6/3');</v>
      </c>
      <c r="G8" s="2" t="str">
        <f t="shared" si="0"/>
        <v>insert into policy values (7, 23, 87051, 8560691, '2021/6/3');</v>
      </c>
      <c r="H8" s="2"/>
      <c r="I8" s="2"/>
      <c r="J8" s="2"/>
      <c r="K8" s="2"/>
    </row>
    <row r="9" spans="1:11" x14ac:dyDescent="0.35">
      <c r="A9">
        <v>8</v>
      </c>
      <c r="B9">
        <v>12</v>
      </c>
      <c r="C9">
        <v>47962</v>
      </c>
      <c r="D9">
        <v>17925033</v>
      </c>
      <c r="E9" s="1">
        <v>45589</v>
      </c>
      <c r="F9" s="3" t="str">
        <f t="shared" si="1"/>
        <v>insert into policy values (8, 12, 47962, 17925033, '2024/10/24');</v>
      </c>
      <c r="G9" s="2" t="str">
        <f t="shared" si="0"/>
        <v>insert into policy values (8, 12, 47962, 17925033, '2024/10/24');</v>
      </c>
      <c r="H9" s="2"/>
      <c r="I9" s="2"/>
      <c r="J9" s="2"/>
      <c r="K9" s="2"/>
    </row>
    <row r="10" spans="1:11" x14ac:dyDescent="0.35">
      <c r="A10">
        <v>9</v>
      </c>
      <c r="B10">
        <v>25</v>
      </c>
      <c r="C10">
        <v>93885</v>
      </c>
      <c r="D10">
        <v>12016355</v>
      </c>
      <c r="E10" s="1">
        <v>45549</v>
      </c>
      <c r="F10" s="3" t="str">
        <f t="shared" si="1"/>
        <v>insert into policy values (9, 25, 93885, 12016355, '2024/9/14');</v>
      </c>
      <c r="G10" s="2" t="str">
        <f t="shared" si="0"/>
        <v>insert into policy values (9, 25, 93885, 12016355, '2024/9/14');</v>
      </c>
      <c r="H10" s="2"/>
      <c r="I10" s="2"/>
      <c r="J10" s="2"/>
      <c r="K10" s="2"/>
    </row>
    <row r="11" spans="1:11" x14ac:dyDescent="0.35">
      <c r="A11">
        <v>10</v>
      </c>
      <c r="B11">
        <v>7</v>
      </c>
      <c r="C11">
        <v>25547</v>
      </c>
      <c r="D11">
        <v>4426401</v>
      </c>
      <c r="E11" s="1">
        <v>45846</v>
      </c>
      <c r="F11" s="3" t="str">
        <f t="shared" si="1"/>
        <v>insert into policy values (10, 7, 25547, 4426401, '2025/7/8');</v>
      </c>
      <c r="G11" s="2" t="str">
        <f t="shared" si="0"/>
        <v>insert into policy values (10, 7, 25547, 4426401, '2025/7/8');</v>
      </c>
      <c r="H11" s="2"/>
      <c r="I11" s="2"/>
      <c r="J11" s="2"/>
      <c r="K11" s="2"/>
    </row>
    <row r="12" spans="1:11" x14ac:dyDescent="0.35">
      <c r="A12">
        <v>11</v>
      </c>
      <c r="B12">
        <v>8</v>
      </c>
      <c r="C12">
        <v>29092</v>
      </c>
      <c r="D12">
        <v>11871874</v>
      </c>
      <c r="E12" s="1">
        <v>45067</v>
      </c>
      <c r="F12" s="3" t="str">
        <f t="shared" si="1"/>
        <v>insert into policy values (11, 8, 29092, 11871874, '2023/5/21');</v>
      </c>
      <c r="G12" s="2" t="str">
        <f t="shared" si="0"/>
        <v>insert into policy values (11, 8, 29092, 11871874, '2023/5/21');</v>
      </c>
      <c r="H12" s="2"/>
      <c r="I12" s="2"/>
      <c r="J12" s="2"/>
      <c r="K12" s="2"/>
    </row>
    <row r="13" spans="1:11" x14ac:dyDescent="0.35">
      <c r="A13">
        <v>12</v>
      </c>
      <c r="B13">
        <v>12</v>
      </c>
      <c r="C13">
        <v>52166</v>
      </c>
      <c r="D13">
        <v>18652161</v>
      </c>
      <c r="E13" t="s">
        <v>79</v>
      </c>
      <c r="F13" s="3" t="str">
        <f t="shared" si="1"/>
        <v>insert into policy values (12, 12, 52166, 18652161, 'NULL');</v>
      </c>
      <c r="G13" s="2" t="str">
        <f t="shared" si="0"/>
        <v>insert into policy values (12, 12, 52166, 18652161, NULL);</v>
      </c>
      <c r="H13" s="2"/>
      <c r="I13" s="2"/>
      <c r="J13" s="2"/>
      <c r="K13" s="2"/>
    </row>
    <row r="14" spans="1:11" x14ac:dyDescent="0.35">
      <c r="A14">
        <v>13</v>
      </c>
      <c r="B14">
        <v>16</v>
      </c>
      <c r="C14">
        <v>61791</v>
      </c>
      <c r="D14">
        <v>18165129</v>
      </c>
      <c r="E14" s="1">
        <v>44572</v>
      </c>
      <c r="F14" s="3" t="str">
        <f t="shared" si="1"/>
        <v>insert into policy values (13, 16, 61791, 18165129, '2022/1/11');</v>
      </c>
      <c r="G14" s="2" t="str">
        <f t="shared" si="0"/>
        <v>insert into policy values (13, 16, 61791, 18165129, '2022/1/11');</v>
      </c>
      <c r="H14" s="2"/>
      <c r="I14" s="2"/>
      <c r="J14" s="2"/>
      <c r="K14" s="2"/>
    </row>
    <row r="15" spans="1:11" x14ac:dyDescent="0.35">
      <c r="A15">
        <v>14</v>
      </c>
      <c r="B15">
        <v>12</v>
      </c>
      <c r="C15">
        <v>52166</v>
      </c>
      <c r="D15">
        <v>19857715</v>
      </c>
      <c r="E15" s="1">
        <v>45155</v>
      </c>
      <c r="F15" s="3" t="str">
        <f t="shared" si="1"/>
        <v>insert into policy values (14, 12, 52166, 19857715, '2023/8/17');</v>
      </c>
      <c r="G15" s="2" t="str">
        <f t="shared" si="0"/>
        <v>insert into policy values (14, 12, 52166, 19857715, '2023/8/17');</v>
      </c>
      <c r="H15" s="2"/>
      <c r="I15" s="2"/>
      <c r="J15" s="2"/>
      <c r="K15" s="2"/>
    </row>
    <row r="16" spans="1:11" x14ac:dyDescent="0.35">
      <c r="A16">
        <v>15</v>
      </c>
      <c r="B16">
        <v>25</v>
      </c>
      <c r="C16">
        <v>97180</v>
      </c>
      <c r="D16">
        <v>18504625</v>
      </c>
      <c r="E16" s="1">
        <v>44238</v>
      </c>
      <c r="F16" s="3" t="str">
        <f t="shared" si="1"/>
        <v>insert into policy values (15, 25, 97180, 18504625, '2021/2/11');</v>
      </c>
      <c r="G16" s="2" t="str">
        <f t="shared" si="0"/>
        <v>insert into policy values (15, 25, 97180, 18504625, '2021/2/11');</v>
      </c>
      <c r="H16" s="2"/>
      <c r="I16" s="2"/>
      <c r="J16" s="2"/>
      <c r="K16" s="2"/>
    </row>
    <row r="17" spans="1:11" x14ac:dyDescent="0.35">
      <c r="A17">
        <v>16</v>
      </c>
      <c r="B17">
        <v>1</v>
      </c>
      <c r="C17">
        <v>11519</v>
      </c>
      <c r="D17">
        <v>6104447</v>
      </c>
      <c r="E17" s="1">
        <v>44694</v>
      </c>
      <c r="F17" s="3" t="str">
        <f t="shared" si="1"/>
        <v>insert into policy values (16, 1, 11519, 6104447, '2022/5/13');</v>
      </c>
      <c r="G17" s="2" t="str">
        <f t="shared" si="0"/>
        <v>insert into policy values (16, 1, 11519, 6104447, '2022/5/13');</v>
      </c>
      <c r="H17" s="2"/>
      <c r="I17" s="2"/>
      <c r="J17" s="2"/>
      <c r="K17" s="2"/>
    </row>
    <row r="18" spans="1:11" x14ac:dyDescent="0.35">
      <c r="A18">
        <v>17</v>
      </c>
      <c r="B18">
        <v>22</v>
      </c>
      <c r="C18">
        <v>84955</v>
      </c>
      <c r="D18">
        <v>12049586</v>
      </c>
      <c r="E18" s="1">
        <v>45282</v>
      </c>
      <c r="F18" s="3" t="str">
        <f t="shared" si="1"/>
        <v>insert into policy values (17, 22, 84955, 12049586, '2023/12/22');</v>
      </c>
      <c r="G18" s="2" t="str">
        <f t="shared" si="0"/>
        <v>insert into policy values (17, 22, 84955, 12049586, '2023/12/22');</v>
      </c>
      <c r="H18" s="2"/>
      <c r="I18" s="2"/>
      <c r="J18" s="2"/>
      <c r="K18" s="2"/>
    </row>
    <row r="19" spans="1:11" x14ac:dyDescent="0.35">
      <c r="A19">
        <v>18</v>
      </c>
      <c r="B19">
        <v>25</v>
      </c>
      <c r="C19">
        <v>97180</v>
      </c>
      <c r="D19">
        <v>19880558</v>
      </c>
      <c r="E19" s="1">
        <v>44821</v>
      </c>
      <c r="F19" s="3" t="str">
        <f t="shared" si="1"/>
        <v>insert into policy values (18, 25, 97180, 19880558, '2022/9/17');</v>
      </c>
      <c r="G19" s="2" t="str">
        <f t="shared" si="0"/>
        <v>insert into policy values (18, 25, 97180, 19880558, '2022/9/17');</v>
      </c>
      <c r="H19" s="2"/>
      <c r="I19" s="2"/>
      <c r="J19" s="2"/>
      <c r="K19" s="2"/>
    </row>
    <row r="20" spans="1:11" x14ac:dyDescent="0.35">
      <c r="A20">
        <v>19</v>
      </c>
      <c r="B20">
        <v>17</v>
      </c>
      <c r="C20">
        <v>62812</v>
      </c>
      <c r="D20">
        <v>3595168</v>
      </c>
      <c r="E20" s="1">
        <v>44193</v>
      </c>
      <c r="F20" s="3" t="str">
        <f t="shared" si="1"/>
        <v>insert into policy values (19, 17, 62812, 3595168, '2020/12/28');</v>
      </c>
      <c r="G20" s="2" t="str">
        <f t="shared" si="0"/>
        <v>insert into policy values (19, 17, 62812, 3595168, '2020/12/28');</v>
      </c>
      <c r="H20" s="2"/>
      <c r="I20" s="2"/>
      <c r="J20" s="2"/>
      <c r="K20" s="2"/>
    </row>
    <row r="21" spans="1:11" x14ac:dyDescent="0.35">
      <c r="A21">
        <v>20</v>
      </c>
      <c r="B21">
        <v>8</v>
      </c>
      <c r="C21">
        <v>29184</v>
      </c>
      <c r="D21">
        <v>1875094</v>
      </c>
      <c r="E21" s="1">
        <v>45488</v>
      </c>
      <c r="F21" s="3" t="str">
        <f t="shared" si="1"/>
        <v>insert into policy values (20, 8, 29184, 1875094, '2024/7/15');</v>
      </c>
      <c r="G21" s="2" t="str">
        <f t="shared" si="0"/>
        <v>insert into policy values (20, 8, 29184, 1875094, '2024/7/15');</v>
      </c>
      <c r="H21" s="2"/>
      <c r="I21" s="2"/>
      <c r="J21" s="2"/>
      <c r="K21" s="2"/>
    </row>
    <row r="22" spans="1:11" x14ac:dyDescent="0.35">
      <c r="A22">
        <v>21</v>
      </c>
      <c r="B22">
        <v>21</v>
      </c>
      <c r="C22">
        <v>81393</v>
      </c>
      <c r="D22">
        <v>4189923</v>
      </c>
      <c r="E22" s="1">
        <v>45469</v>
      </c>
      <c r="F22" s="3" t="str">
        <f t="shared" si="1"/>
        <v>insert into policy values (21, 21, 81393, 4189923, '2024/6/26');</v>
      </c>
      <c r="G22" s="2" t="str">
        <f t="shared" si="0"/>
        <v>insert into policy values (21, 21, 81393, 4189923, '2024/6/26');</v>
      </c>
      <c r="H22" s="2"/>
      <c r="I22" s="2"/>
      <c r="J22" s="2"/>
      <c r="K22" s="2"/>
    </row>
    <row r="23" spans="1:11" x14ac:dyDescent="0.35">
      <c r="A23">
        <v>22</v>
      </c>
      <c r="B23">
        <v>22</v>
      </c>
      <c r="C23">
        <v>82114</v>
      </c>
      <c r="D23">
        <v>15807979</v>
      </c>
      <c r="E23" s="1">
        <v>44481</v>
      </c>
      <c r="F23" s="3" t="str">
        <f t="shared" si="1"/>
        <v>insert into policy values (22, 22, 82114, 15807979, '2021/10/12');</v>
      </c>
      <c r="G23" s="2" t="str">
        <f t="shared" si="0"/>
        <v>insert into policy values (22, 22, 82114, 15807979, '2021/10/12');</v>
      </c>
      <c r="H23" s="2"/>
      <c r="I23" s="2"/>
      <c r="J23" s="2"/>
      <c r="K23" s="2"/>
    </row>
    <row r="24" spans="1:11" x14ac:dyDescent="0.35">
      <c r="A24">
        <v>23</v>
      </c>
      <c r="B24">
        <v>25</v>
      </c>
      <c r="C24">
        <v>97180</v>
      </c>
      <c r="D24">
        <v>9153033</v>
      </c>
      <c r="E24" s="1">
        <v>45770</v>
      </c>
      <c r="F24" s="3" t="str">
        <f t="shared" si="1"/>
        <v>insert into policy values (23, 25, 97180, 9153033, '2025/4/23');</v>
      </c>
      <c r="G24" s="2" t="str">
        <f t="shared" si="0"/>
        <v>insert into policy values (23, 25, 97180, 9153033, '2025/4/23');</v>
      </c>
      <c r="H24" s="2"/>
      <c r="I24" s="2"/>
      <c r="J24" s="2"/>
      <c r="K24" s="2"/>
    </row>
    <row r="25" spans="1:11" x14ac:dyDescent="0.35">
      <c r="A25">
        <v>24</v>
      </c>
      <c r="B25">
        <v>1</v>
      </c>
      <c r="C25">
        <v>11519</v>
      </c>
      <c r="D25">
        <v>3995220</v>
      </c>
      <c r="E25" s="1">
        <v>45408</v>
      </c>
      <c r="F25" s="3" t="str">
        <f t="shared" si="1"/>
        <v>insert into policy values (24, 1, 11519, 3995220, '2024/4/26');</v>
      </c>
      <c r="G25" s="2" t="str">
        <f t="shared" si="0"/>
        <v>insert into policy values (24, 1, 11519, 3995220, '2024/4/26');</v>
      </c>
      <c r="H25" s="2"/>
      <c r="I25" s="2"/>
      <c r="J25" s="2"/>
      <c r="K25" s="2"/>
    </row>
    <row r="26" spans="1:11" x14ac:dyDescent="0.35">
      <c r="A26">
        <v>25</v>
      </c>
      <c r="B26">
        <v>18</v>
      </c>
      <c r="C26">
        <v>64006</v>
      </c>
      <c r="D26">
        <v>12310761</v>
      </c>
      <c r="E26" s="1">
        <v>44202</v>
      </c>
      <c r="F26" s="3" t="str">
        <f t="shared" si="1"/>
        <v>insert into policy values (25, 18, 64006, 12310761, '2021/1/6');</v>
      </c>
      <c r="G26" s="2" t="str">
        <f t="shared" si="0"/>
        <v>insert into policy values (25, 18, 64006, 12310761, '2021/1/6');</v>
      </c>
      <c r="H26" s="2"/>
      <c r="I26" s="2"/>
      <c r="J26" s="2"/>
      <c r="K26" s="2"/>
    </row>
    <row r="27" spans="1:11" x14ac:dyDescent="0.35">
      <c r="A27">
        <v>26</v>
      </c>
      <c r="B27">
        <v>14</v>
      </c>
      <c r="C27">
        <v>56563</v>
      </c>
      <c r="D27">
        <v>1218820</v>
      </c>
      <c r="E27" s="1">
        <v>44048</v>
      </c>
      <c r="F27" s="3" t="str">
        <f t="shared" si="1"/>
        <v>insert into policy values (26, 14, 56563, 1218820, '2020/8/5');</v>
      </c>
      <c r="G27" s="2" t="str">
        <f t="shared" si="0"/>
        <v>insert into policy values (26, 14, 56563, 1218820, '2020/8/5');</v>
      </c>
      <c r="H27" s="2"/>
      <c r="I27" s="2"/>
      <c r="J27" s="2"/>
      <c r="K27" s="2"/>
    </row>
    <row r="28" spans="1:11" x14ac:dyDescent="0.35">
      <c r="A28">
        <v>27</v>
      </c>
      <c r="B28">
        <v>24</v>
      </c>
      <c r="C28">
        <v>93096</v>
      </c>
      <c r="D28">
        <v>9153450</v>
      </c>
      <c r="E28" s="1">
        <v>45472</v>
      </c>
      <c r="F28" s="3" t="str">
        <f t="shared" si="1"/>
        <v>insert into policy values (27, 24, 93096, 9153450, '2024/6/29');</v>
      </c>
      <c r="G28" s="2" t="str">
        <f t="shared" si="0"/>
        <v>insert into policy values (27, 24, 93096, 9153450, '2024/6/29');</v>
      </c>
      <c r="H28" s="2"/>
      <c r="I28" s="2"/>
      <c r="J28" s="2"/>
      <c r="K28" s="2"/>
    </row>
    <row r="29" spans="1:11" x14ac:dyDescent="0.35">
      <c r="A29">
        <v>28</v>
      </c>
      <c r="B29">
        <v>18</v>
      </c>
      <c r="C29">
        <v>64006</v>
      </c>
      <c r="D29">
        <v>17701966</v>
      </c>
      <c r="E29" s="1">
        <v>44516</v>
      </c>
      <c r="F29" s="3" t="str">
        <f t="shared" si="1"/>
        <v>insert into policy values (28, 18, 64006, 17701966, '2021/11/16');</v>
      </c>
      <c r="G29" s="2" t="str">
        <f t="shared" si="0"/>
        <v>insert into policy values (28, 18, 64006, 17701966, '2021/11/16');</v>
      </c>
      <c r="H29" s="2"/>
      <c r="I29" s="2"/>
      <c r="J29" s="2"/>
      <c r="K29" s="2"/>
    </row>
    <row r="30" spans="1:11" x14ac:dyDescent="0.35">
      <c r="A30">
        <v>29</v>
      </c>
      <c r="B30">
        <v>14</v>
      </c>
      <c r="C30">
        <v>57055</v>
      </c>
      <c r="D30">
        <v>15712454</v>
      </c>
      <c r="E30" s="1">
        <v>44349</v>
      </c>
      <c r="F30" s="3" t="str">
        <f t="shared" si="1"/>
        <v>insert into policy values (29, 14, 57055, 15712454, '2021/6/2');</v>
      </c>
      <c r="G30" s="2" t="str">
        <f t="shared" si="0"/>
        <v>insert into policy values (29, 14, 57055, 15712454, '2021/6/2');</v>
      </c>
      <c r="H30" s="2"/>
      <c r="I30" s="2"/>
      <c r="J30" s="2"/>
      <c r="K30" s="2"/>
    </row>
    <row r="31" spans="1:11" x14ac:dyDescent="0.35">
      <c r="A31">
        <v>30</v>
      </c>
      <c r="B31">
        <v>3</v>
      </c>
      <c r="C31">
        <v>15475</v>
      </c>
      <c r="D31">
        <v>1551763</v>
      </c>
      <c r="E31" s="1">
        <v>44757</v>
      </c>
      <c r="F31" s="3" t="str">
        <f t="shared" si="1"/>
        <v>insert into policy values (30, 3, 15475, 1551763, '2022/7/15');</v>
      </c>
      <c r="G31" s="2" t="str">
        <f t="shared" si="0"/>
        <v>insert into policy values (30, 3, 15475, 1551763, '2022/7/15');</v>
      </c>
      <c r="H31" s="2"/>
      <c r="I31" s="2"/>
      <c r="J31" s="2"/>
      <c r="K31" s="2"/>
    </row>
    <row r="32" spans="1:11" x14ac:dyDescent="0.35">
      <c r="A32">
        <v>31</v>
      </c>
      <c r="B32">
        <v>5</v>
      </c>
      <c r="C32">
        <v>21499</v>
      </c>
      <c r="D32">
        <v>229599</v>
      </c>
      <c r="E32" s="1">
        <v>44174</v>
      </c>
      <c r="F32" s="3" t="str">
        <f t="shared" si="1"/>
        <v>insert into policy values (31, 5, 21499, 229599, '2020/12/9');</v>
      </c>
      <c r="G32" s="2" t="str">
        <f t="shared" si="0"/>
        <v>insert into policy values (31, 5, 21499, 229599, '2020/12/9');</v>
      </c>
      <c r="H32" s="2"/>
      <c r="I32" s="2"/>
      <c r="J32" s="2"/>
      <c r="K32" s="2"/>
    </row>
    <row r="33" spans="1:11" x14ac:dyDescent="0.35">
      <c r="A33">
        <v>32</v>
      </c>
      <c r="B33">
        <v>12</v>
      </c>
      <c r="C33">
        <v>47962</v>
      </c>
      <c r="D33">
        <v>8858788</v>
      </c>
      <c r="E33" s="1">
        <v>45233</v>
      </c>
      <c r="F33" s="3" t="str">
        <f t="shared" si="1"/>
        <v>insert into policy values (32, 12, 47962, 8858788, '2023/11/3');</v>
      </c>
      <c r="G33" s="2" t="str">
        <f t="shared" si="0"/>
        <v>insert into policy values (32, 12, 47962, 8858788, '2023/11/3');</v>
      </c>
      <c r="H33" s="2"/>
      <c r="I33" s="2"/>
      <c r="J33" s="2"/>
      <c r="K33" s="2"/>
    </row>
    <row r="34" spans="1:11" x14ac:dyDescent="0.35">
      <c r="A34">
        <v>33</v>
      </c>
      <c r="B34">
        <v>8</v>
      </c>
      <c r="C34">
        <v>29092</v>
      </c>
      <c r="D34">
        <v>13095801</v>
      </c>
      <c r="E34" s="1">
        <v>45373</v>
      </c>
      <c r="F34" s="3" t="str">
        <f t="shared" si="1"/>
        <v>insert into policy values (33, 8, 29092, 13095801, '2024/3/22');</v>
      </c>
      <c r="G34" s="2" t="str">
        <f t="shared" ref="G34:G65" si="2">SUBSTITUTE(F34, "'NULL'", "NULL" )</f>
        <v>insert into policy values (33, 8, 29092, 13095801, '2024/3/22');</v>
      </c>
      <c r="H34" s="2"/>
      <c r="I34" s="2"/>
      <c r="J34" s="2"/>
      <c r="K34" s="2"/>
    </row>
    <row r="35" spans="1:11" x14ac:dyDescent="0.35">
      <c r="A35">
        <v>34</v>
      </c>
      <c r="B35">
        <v>25</v>
      </c>
      <c r="C35">
        <v>97180</v>
      </c>
      <c r="D35">
        <v>7789775</v>
      </c>
      <c r="E35" s="1">
        <v>44053</v>
      </c>
      <c r="F35" s="3" t="str">
        <f t="shared" si="1"/>
        <v>insert into policy values (34, 25, 97180, 7789775, '2020/8/10');</v>
      </c>
      <c r="G35" s="2" t="str">
        <f t="shared" si="2"/>
        <v>insert into policy values (34, 25, 97180, 7789775, '2020/8/10');</v>
      </c>
      <c r="H35" s="2"/>
      <c r="I35" s="2"/>
      <c r="J35" s="2"/>
      <c r="K35" s="2"/>
    </row>
    <row r="36" spans="1:11" x14ac:dyDescent="0.35">
      <c r="A36">
        <v>35</v>
      </c>
      <c r="B36">
        <v>17</v>
      </c>
      <c r="C36">
        <v>62090</v>
      </c>
      <c r="D36">
        <v>9285741</v>
      </c>
      <c r="E36" s="1">
        <v>45675</v>
      </c>
      <c r="F36" s="3" t="str">
        <f t="shared" si="1"/>
        <v>insert into policy values (35, 17, 62090, 9285741, '2025/1/18');</v>
      </c>
      <c r="G36" s="2" t="str">
        <f t="shared" si="2"/>
        <v>insert into policy values (35, 17, 62090, 9285741, '2025/1/18');</v>
      </c>
      <c r="H36" s="2"/>
      <c r="I36" s="2"/>
      <c r="J36" s="2"/>
      <c r="K36" s="2"/>
    </row>
    <row r="37" spans="1:11" x14ac:dyDescent="0.35">
      <c r="A37">
        <v>36</v>
      </c>
      <c r="B37">
        <v>20</v>
      </c>
      <c r="C37">
        <v>72224</v>
      </c>
      <c r="D37">
        <v>12196774</v>
      </c>
      <c r="E37" s="1">
        <v>44062</v>
      </c>
      <c r="F37" s="3" t="str">
        <f t="shared" si="1"/>
        <v>insert into policy values (36, 20, 72224, 12196774, '2020/8/19');</v>
      </c>
      <c r="G37" s="2" t="str">
        <f t="shared" si="2"/>
        <v>insert into policy values (36, 20, 72224, 12196774, '2020/8/19');</v>
      </c>
      <c r="H37" s="2"/>
      <c r="I37" s="2"/>
      <c r="J37" s="2"/>
      <c r="K37" s="2"/>
    </row>
    <row r="38" spans="1:11" x14ac:dyDescent="0.35">
      <c r="A38">
        <v>37</v>
      </c>
      <c r="B38">
        <v>1</v>
      </c>
      <c r="C38">
        <v>11519</v>
      </c>
      <c r="D38">
        <v>3100144</v>
      </c>
      <c r="E38" s="1">
        <v>45240</v>
      </c>
      <c r="F38" s="3" t="str">
        <f t="shared" si="1"/>
        <v>insert into policy values (37, 1, 11519, 3100144, '2023/11/10');</v>
      </c>
      <c r="G38" s="2" t="str">
        <f t="shared" si="2"/>
        <v>insert into policy values (37, 1, 11519, 3100144, '2023/11/10');</v>
      </c>
      <c r="H38" s="2"/>
      <c r="I38" s="2"/>
      <c r="J38" s="2"/>
      <c r="K38" s="2"/>
    </row>
    <row r="39" spans="1:11" x14ac:dyDescent="0.35">
      <c r="A39">
        <v>38</v>
      </c>
      <c r="B39">
        <v>10</v>
      </c>
      <c r="C39">
        <v>40025</v>
      </c>
      <c r="D39">
        <v>9180910</v>
      </c>
      <c r="E39" s="1">
        <v>44763</v>
      </c>
      <c r="F39" s="3" t="str">
        <f t="shared" si="1"/>
        <v>insert into policy values (38, 10, 40025, 9180910, '2022/7/21');</v>
      </c>
      <c r="G39" s="2" t="str">
        <f t="shared" si="2"/>
        <v>insert into policy values (38, 10, 40025, 9180910, '2022/7/21');</v>
      </c>
      <c r="H39" s="2"/>
      <c r="I39" s="2"/>
      <c r="J39" s="2"/>
      <c r="K39" s="2"/>
    </row>
    <row r="40" spans="1:11" x14ac:dyDescent="0.35">
      <c r="A40">
        <v>39</v>
      </c>
      <c r="B40">
        <v>9</v>
      </c>
      <c r="C40">
        <v>35466</v>
      </c>
      <c r="D40">
        <v>8309193</v>
      </c>
      <c r="E40" s="1">
        <v>45730</v>
      </c>
      <c r="F40" s="3" t="str">
        <f t="shared" si="1"/>
        <v>insert into policy values (39, 9, 35466, 8309193, '2025/3/14');</v>
      </c>
      <c r="G40" s="2" t="str">
        <f t="shared" si="2"/>
        <v>insert into policy values (39, 9, 35466, 8309193, '2025/3/14');</v>
      </c>
      <c r="H40" s="2"/>
      <c r="I40" s="2"/>
      <c r="J40" s="2"/>
      <c r="K40" s="2"/>
    </row>
    <row r="41" spans="1:11" x14ac:dyDescent="0.35">
      <c r="A41">
        <v>40</v>
      </c>
      <c r="B41">
        <v>24</v>
      </c>
      <c r="C41">
        <v>93306</v>
      </c>
      <c r="D41">
        <v>19084573</v>
      </c>
      <c r="E41" s="1">
        <v>44631</v>
      </c>
      <c r="F41" s="3" t="str">
        <f t="shared" si="1"/>
        <v>insert into policy values (40, 24, 93306, 19084573, '2022/3/11');</v>
      </c>
      <c r="G41" s="2" t="str">
        <f t="shared" si="2"/>
        <v>insert into policy values (40, 24, 93306, 19084573, '2022/3/11');</v>
      </c>
      <c r="H41" s="2"/>
      <c r="I41" s="2"/>
      <c r="J41" s="2"/>
      <c r="K41" s="2"/>
    </row>
    <row r="42" spans="1:11" x14ac:dyDescent="0.35">
      <c r="A42">
        <v>41</v>
      </c>
      <c r="B42">
        <v>13</v>
      </c>
      <c r="C42">
        <v>55975</v>
      </c>
      <c r="D42">
        <v>5779989</v>
      </c>
      <c r="E42" s="1">
        <v>45466</v>
      </c>
      <c r="F42" s="3" t="str">
        <f t="shared" si="1"/>
        <v>insert into policy values (41, 13, 55975, 5779989, '2024/6/23');</v>
      </c>
      <c r="G42" s="2" t="str">
        <f t="shared" si="2"/>
        <v>insert into policy values (41, 13, 55975, 5779989, '2024/6/23');</v>
      </c>
      <c r="H42" s="2"/>
      <c r="I42" s="2"/>
      <c r="J42" s="2"/>
      <c r="K42" s="2"/>
    </row>
    <row r="43" spans="1:11" x14ac:dyDescent="0.35">
      <c r="A43">
        <v>42</v>
      </c>
      <c r="B43">
        <v>18</v>
      </c>
      <c r="C43">
        <v>66111</v>
      </c>
      <c r="D43">
        <v>5245824</v>
      </c>
      <c r="E43" s="1">
        <v>45663</v>
      </c>
      <c r="F43" s="3" t="str">
        <f t="shared" si="1"/>
        <v>insert into policy values (42, 18, 66111, 5245824, '2025/1/6');</v>
      </c>
      <c r="G43" s="2" t="str">
        <f t="shared" si="2"/>
        <v>insert into policy values (42, 18, 66111, 5245824, '2025/1/6');</v>
      </c>
      <c r="H43" s="2"/>
      <c r="I43" s="2"/>
      <c r="J43" s="2"/>
      <c r="K43" s="2"/>
    </row>
    <row r="44" spans="1:11" x14ac:dyDescent="0.35">
      <c r="A44">
        <v>43</v>
      </c>
      <c r="B44">
        <v>3</v>
      </c>
      <c r="C44">
        <v>15572</v>
      </c>
      <c r="D44">
        <v>589860</v>
      </c>
      <c r="E44" s="1">
        <v>44358</v>
      </c>
      <c r="F44" s="3" t="str">
        <f t="shared" si="1"/>
        <v>insert into policy values (43, 3, 15572, 589860, '2021/6/11');</v>
      </c>
      <c r="G44" s="2" t="str">
        <f t="shared" si="2"/>
        <v>insert into policy values (43, 3, 15572, 589860, '2021/6/11');</v>
      </c>
      <c r="H44" s="2"/>
      <c r="I44" s="2"/>
      <c r="J44" s="2"/>
      <c r="K44" s="2"/>
    </row>
    <row r="45" spans="1:11" x14ac:dyDescent="0.35">
      <c r="A45">
        <v>44</v>
      </c>
      <c r="B45">
        <v>7</v>
      </c>
      <c r="C45">
        <v>25547</v>
      </c>
      <c r="D45">
        <v>5341129</v>
      </c>
      <c r="E45" s="1">
        <v>45451</v>
      </c>
      <c r="F45" s="3" t="str">
        <f t="shared" si="1"/>
        <v>insert into policy values (44, 7, 25547, 5341129, '2024/6/8');</v>
      </c>
      <c r="G45" s="2" t="str">
        <f t="shared" si="2"/>
        <v>insert into policy values (44, 7, 25547, 5341129, '2024/6/8');</v>
      </c>
      <c r="H45" s="2"/>
      <c r="I45" s="2"/>
      <c r="J45" s="2"/>
      <c r="K45" s="2"/>
    </row>
    <row r="46" spans="1:11" x14ac:dyDescent="0.35">
      <c r="A46">
        <v>45</v>
      </c>
      <c r="B46">
        <v>23</v>
      </c>
      <c r="C46">
        <v>87051</v>
      </c>
      <c r="D46">
        <v>14868870</v>
      </c>
      <c r="E46" s="1">
        <v>45507</v>
      </c>
      <c r="F46" s="3" t="str">
        <f t="shared" si="1"/>
        <v>insert into policy values (45, 23, 87051, 14868870, '2024/8/3');</v>
      </c>
      <c r="G46" s="2" t="str">
        <f t="shared" si="2"/>
        <v>insert into policy values (45, 23, 87051, 14868870, '2024/8/3');</v>
      </c>
      <c r="H46" s="2"/>
      <c r="I46" s="2"/>
      <c r="J46" s="2"/>
      <c r="K46" s="2"/>
    </row>
    <row r="47" spans="1:11" x14ac:dyDescent="0.35">
      <c r="A47">
        <v>46</v>
      </c>
      <c r="B47">
        <v>20</v>
      </c>
      <c r="C47">
        <v>75603</v>
      </c>
      <c r="D47">
        <v>2311371</v>
      </c>
      <c r="E47" s="1">
        <v>44409</v>
      </c>
      <c r="F47" s="3" t="str">
        <f t="shared" si="1"/>
        <v>insert into policy values (46, 20, 75603, 2311371, '2021/8/1');</v>
      </c>
      <c r="G47" s="2" t="str">
        <f t="shared" si="2"/>
        <v>insert into policy values (46, 20, 75603, 2311371, '2021/8/1');</v>
      </c>
      <c r="H47" s="2"/>
      <c r="I47" s="2"/>
      <c r="J47" s="2"/>
      <c r="K47" s="2"/>
    </row>
    <row r="48" spans="1:11" x14ac:dyDescent="0.35">
      <c r="A48">
        <v>47</v>
      </c>
      <c r="B48">
        <v>9</v>
      </c>
      <c r="C48">
        <v>33586</v>
      </c>
      <c r="D48">
        <v>15859739</v>
      </c>
      <c r="E48" s="1">
        <v>45526</v>
      </c>
      <c r="F48" s="3" t="str">
        <f t="shared" si="1"/>
        <v>insert into policy values (47, 9, 33586, 15859739, '2024/8/22');</v>
      </c>
      <c r="G48" s="2" t="str">
        <f t="shared" si="2"/>
        <v>insert into policy values (47, 9, 33586, 15859739, '2024/8/22');</v>
      </c>
      <c r="H48" s="2"/>
      <c r="I48" s="2"/>
      <c r="J48" s="2"/>
      <c r="K48" s="2"/>
    </row>
    <row r="49" spans="1:11" x14ac:dyDescent="0.35">
      <c r="A49">
        <v>48</v>
      </c>
      <c r="B49">
        <v>12</v>
      </c>
      <c r="C49">
        <v>47962</v>
      </c>
      <c r="D49">
        <v>11531406</v>
      </c>
      <c r="E49" s="1">
        <v>45752</v>
      </c>
      <c r="F49" s="3" t="str">
        <f t="shared" si="1"/>
        <v>insert into policy values (48, 12, 47962, 11531406, '2025/4/5');</v>
      </c>
      <c r="G49" s="2" t="str">
        <f t="shared" si="2"/>
        <v>insert into policy values (48, 12, 47962, 11531406, '2025/4/5');</v>
      </c>
      <c r="H49" s="2"/>
      <c r="I49" s="2"/>
      <c r="J49" s="2"/>
      <c r="K49" s="2"/>
    </row>
    <row r="50" spans="1:11" x14ac:dyDescent="0.35">
      <c r="A50">
        <v>49</v>
      </c>
      <c r="B50">
        <v>4</v>
      </c>
      <c r="C50">
        <v>19945</v>
      </c>
      <c r="D50">
        <v>8494794</v>
      </c>
      <c r="E50" s="1">
        <v>45423</v>
      </c>
      <c r="F50" s="3" t="str">
        <f t="shared" si="1"/>
        <v>insert into policy values (49, 4, 19945, 8494794, '2024/5/11');</v>
      </c>
      <c r="G50" s="2" t="str">
        <f t="shared" si="2"/>
        <v>insert into policy values (49, 4, 19945, 8494794, '2024/5/11');</v>
      </c>
      <c r="H50" s="2"/>
      <c r="I50" s="2"/>
      <c r="J50" s="2"/>
      <c r="K50" s="2"/>
    </row>
    <row r="51" spans="1:11" x14ac:dyDescent="0.35">
      <c r="A51">
        <v>50</v>
      </c>
      <c r="B51">
        <v>6</v>
      </c>
      <c r="C51">
        <v>23858</v>
      </c>
      <c r="D51" t="s">
        <v>79</v>
      </c>
      <c r="E51" s="1">
        <v>44352</v>
      </c>
      <c r="F51" s="3" t="str">
        <f t="shared" si="1"/>
        <v>insert into policy values (50, 6, 23858, NULL, '2021/6/5');</v>
      </c>
      <c r="G51" s="2" t="str">
        <f t="shared" si="2"/>
        <v>insert into policy values (50, 6, 23858, NULL, '2021/6/5');</v>
      </c>
      <c r="H51" s="2"/>
      <c r="I51" s="2"/>
      <c r="J51" s="2"/>
      <c r="K51" s="2"/>
    </row>
    <row r="52" spans="1:11" x14ac:dyDescent="0.35">
      <c r="A52">
        <v>51</v>
      </c>
      <c r="B52">
        <v>11</v>
      </c>
      <c r="C52">
        <v>46559</v>
      </c>
      <c r="D52">
        <v>3536803</v>
      </c>
      <c r="E52" s="1">
        <v>45443</v>
      </c>
      <c r="F52" s="3" t="str">
        <f t="shared" si="1"/>
        <v>insert into policy values (51, 11, 46559, 3536803, '2024/5/31');</v>
      </c>
      <c r="G52" s="2" t="str">
        <f t="shared" si="2"/>
        <v>insert into policy values (51, 11, 46559, 3536803, '2024/5/31');</v>
      </c>
      <c r="H52" s="2"/>
      <c r="I52" s="2"/>
      <c r="J52" s="2"/>
      <c r="K52" s="2"/>
    </row>
    <row r="53" spans="1:11" x14ac:dyDescent="0.35">
      <c r="A53">
        <v>52</v>
      </c>
      <c r="B53">
        <v>18</v>
      </c>
      <c r="C53">
        <v>66111</v>
      </c>
      <c r="D53">
        <v>11639943</v>
      </c>
      <c r="E53" s="1">
        <v>44620</v>
      </c>
      <c r="F53" s="3" t="str">
        <f t="shared" si="1"/>
        <v>insert into policy values (52, 18, 66111, 11639943, '2022/2/28');</v>
      </c>
      <c r="G53" s="2" t="str">
        <f t="shared" si="2"/>
        <v>insert into policy values (52, 18, 66111, 11639943, '2022/2/28');</v>
      </c>
      <c r="H53" s="2"/>
      <c r="I53" s="2"/>
      <c r="J53" s="2"/>
      <c r="K53" s="2"/>
    </row>
    <row r="54" spans="1:11" x14ac:dyDescent="0.35">
      <c r="A54">
        <v>53</v>
      </c>
      <c r="B54">
        <v>16</v>
      </c>
      <c r="C54">
        <v>61066</v>
      </c>
      <c r="D54">
        <v>13162226</v>
      </c>
      <c r="E54" s="1">
        <v>45566</v>
      </c>
      <c r="F54" s="3" t="str">
        <f t="shared" si="1"/>
        <v>insert into policy values (53, 16, 61066, 13162226, '2024/10/1');</v>
      </c>
      <c r="G54" s="2" t="str">
        <f t="shared" si="2"/>
        <v>insert into policy values (53, 16, 61066, 13162226, '2024/10/1');</v>
      </c>
      <c r="H54" s="2"/>
      <c r="I54" s="2"/>
      <c r="J54" s="2"/>
      <c r="K54" s="2"/>
    </row>
    <row r="55" spans="1:11" x14ac:dyDescent="0.35">
      <c r="A55">
        <v>54</v>
      </c>
      <c r="B55">
        <v>13</v>
      </c>
      <c r="C55">
        <v>53202</v>
      </c>
      <c r="D55">
        <v>9560725</v>
      </c>
      <c r="E55" s="1">
        <v>45777</v>
      </c>
      <c r="F55" s="3" t="str">
        <f t="shared" si="1"/>
        <v>insert into policy values (54, 13, 53202, 9560725, '2025/4/30');</v>
      </c>
      <c r="G55" s="2" t="str">
        <f t="shared" si="2"/>
        <v>insert into policy values (54, 13, 53202, 9560725, '2025/4/30');</v>
      </c>
      <c r="H55" s="2"/>
      <c r="I55" s="2"/>
      <c r="J55" s="2"/>
      <c r="K55" s="2"/>
    </row>
    <row r="56" spans="1:11" x14ac:dyDescent="0.35">
      <c r="A56">
        <v>55</v>
      </c>
      <c r="B56">
        <v>5</v>
      </c>
      <c r="C56">
        <v>21499</v>
      </c>
      <c r="D56">
        <v>2737126</v>
      </c>
      <c r="E56" s="1">
        <v>45462</v>
      </c>
      <c r="F56" s="3" t="str">
        <f t="shared" si="1"/>
        <v>insert into policy values (55, 5, 21499, 2737126, '2024/6/19');</v>
      </c>
      <c r="G56" s="2" t="str">
        <f t="shared" si="2"/>
        <v>insert into policy values (55, 5, 21499, 2737126, '2024/6/19');</v>
      </c>
      <c r="H56" s="2"/>
      <c r="I56" s="2"/>
      <c r="J56" s="2"/>
      <c r="K56" s="2"/>
    </row>
    <row r="57" spans="1:11" x14ac:dyDescent="0.35">
      <c r="A57">
        <v>56</v>
      </c>
      <c r="B57">
        <v>22</v>
      </c>
      <c r="C57">
        <v>84955</v>
      </c>
      <c r="D57">
        <v>13381309</v>
      </c>
      <c r="E57" s="1">
        <v>44275</v>
      </c>
      <c r="F57" s="3" t="str">
        <f t="shared" si="1"/>
        <v>insert into policy values (56, 22, 84955, 13381309, '2021/3/20');</v>
      </c>
      <c r="G57" s="2" t="str">
        <f t="shared" si="2"/>
        <v>insert into policy values (56, 22, 84955, 13381309, '2021/3/20');</v>
      </c>
      <c r="H57" s="2"/>
      <c r="I57" s="2"/>
      <c r="J57" s="2"/>
      <c r="K57" s="2"/>
    </row>
    <row r="58" spans="1:11" x14ac:dyDescent="0.35">
      <c r="A58">
        <v>57</v>
      </c>
      <c r="B58">
        <v>21</v>
      </c>
      <c r="C58">
        <v>81492</v>
      </c>
      <c r="D58">
        <v>18215141</v>
      </c>
      <c r="E58" s="1">
        <v>44621</v>
      </c>
      <c r="F58" s="3" t="str">
        <f t="shared" si="1"/>
        <v>insert into policy values (57, 21, 81492, 18215141, '2022/3/1');</v>
      </c>
      <c r="G58" s="2" t="str">
        <f t="shared" si="2"/>
        <v>insert into policy values (57, 21, 81492, 18215141, '2022/3/1');</v>
      </c>
      <c r="H58" s="2"/>
      <c r="I58" s="2"/>
      <c r="J58" s="2"/>
      <c r="K58" s="2"/>
    </row>
    <row r="59" spans="1:11" x14ac:dyDescent="0.35">
      <c r="A59">
        <v>58</v>
      </c>
      <c r="B59">
        <v>19</v>
      </c>
      <c r="C59">
        <v>68779</v>
      </c>
      <c r="D59">
        <v>17491697</v>
      </c>
      <c r="E59" s="1">
        <v>45017</v>
      </c>
      <c r="F59" s="3" t="str">
        <f t="shared" si="1"/>
        <v>insert into policy values (58, 19, 68779, 17491697, '2023/4/1');</v>
      </c>
      <c r="G59" s="2" t="str">
        <f t="shared" si="2"/>
        <v>insert into policy values (58, 19, 68779, 17491697, '2023/4/1');</v>
      </c>
      <c r="H59" s="2"/>
      <c r="I59" s="2"/>
      <c r="J59" s="2"/>
      <c r="K59" s="2"/>
    </row>
    <row r="60" spans="1:11" x14ac:dyDescent="0.35">
      <c r="A60">
        <v>59</v>
      </c>
      <c r="B60">
        <v>22</v>
      </c>
      <c r="C60">
        <v>82114</v>
      </c>
      <c r="D60">
        <v>10134162</v>
      </c>
      <c r="E60" s="1">
        <v>44053</v>
      </c>
      <c r="F60" s="3" t="str">
        <f t="shared" si="1"/>
        <v>insert into policy values (59, 22, 82114, 10134162, '2020/8/10');</v>
      </c>
      <c r="G60" s="2" t="str">
        <f t="shared" si="2"/>
        <v>insert into policy values (59, 22, 82114, 10134162, '2020/8/10');</v>
      </c>
      <c r="H60" s="2"/>
      <c r="I60" s="2"/>
      <c r="J60" s="2"/>
      <c r="K60" s="2"/>
    </row>
    <row r="61" spans="1:11" x14ac:dyDescent="0.35">
      <c r="A61">
        <v>60</v>
      </c>
      <c r="B61">
        <v>17</v>
      </c>
      <c r="C61">
        <v>62812</v>
      </c>
      <c r="D61">
        <v>10189383</v>
      </c>
      <c r="E61" s="1">
        <v>45354</v>
      </c>
      <c r="F61" s="3" t="str">
        <f t="shared" si="1"/>
        <v>insert into policy values (60, 17, 62812, 10189383, '2024/3/3');</v>
      </c>
      <c r="G61" s="2" t="str">
        <f t="shared" si="2"/>
        <v>insert into policy values (60, 17, 62812, 10189383, '2024/3/3');</v>
      </c>
      <c r="H61" s="2"/>
      <c r="I61" s="2"/>
      <c r="J61" s="2"/>
      <c r="K61" s="2"/>
    </row>
    <row r="62" spans="1:11" x14ac:dyDescent="0.35">
      <c r="A62">
        <v>61</v>
      </c>
      <c r="B62">
        <v>16</v>
      </c>
      <c r="C62">
        <v>61791</v>
      </c>
      <c r="D62">
        <v>14066813</v>
      </c>
      <c r="E62" s="1">
        <v>45417</v>
      </c>
      <c r="F62" s="3" t="str">
        <f t="shared" si="1"/>
        <v>insert into policy values (61, 16, 61791, 14066813, '2024/5/5');</v>
      </c>
      <c r="G62" s="2" t="str">
        <f t="shared" si="2"/>
        <v>insert into policy values (61, 16, 61791, 14066813, '2024/5/5');</v>
      </c>
      <c r="H62" s="2"/>
      <c r="I62" s="2"/>
      <c r="J62" s="2"/>
      <c r="K62" s="2"/>
    </row>
    <row r="63" spans="1:11" x14ac:dyDescent="0.35">
      <c r="A63">
        <v>62</v>
      </c>
      <c r="B63">
        <v>6</v>
      </c>
      <c r="C63">
        <v>23054</v>
      </c>
      <c r="D63">
        <v>12024443</v>
      </c>
      <c r="E63" s="1">
        <v>45194</v>
      </c>
      <c r="F63" s="3" t="str">
        <f t="shared" si="1"/>
        <v>insert into policy values (62, 6, 23054, 12024443, '2023/9/25');</v>
      </c>
      <c r="G63" s="2" t="str">
        <f t="shared" si="2"/>
        <v>insert into policy values (62, 6, 23054, 12024443, '2023/9/25');</v>
      </c>
      <c r="H63" s="2"/>
      <c r="I63" s="2"/>
      <c r="J63" s="2"/>
      <c r="K63" s="2"/>
    </row>
    <row r="64" spans="1:11" x14ac:dyDescent="0.35">
      <c r="A64">
        <v>63</v>
      </c>
      <c r="B64">
        <v>23</v>
      </c>
      <c r="C64">
        <v>85508</v>
      </c>
      <c r="D64">
        <v>10858725</v>
      </c>
      <c r="E64" s="1">
        <v>44024</v>
      </c>
      <c r="F64" s="3" t="str">
        <f t="shared" si="1"/>
        <v>insert into policy values (63, 23, 85508, 10858725, '2020/7/12');</v>
      </c>
      <c r="G64" s="2" t="str">
        <f t="shared" si="2"/>
        <v>insert into policy values (63, 23, 85508, 10858725, '2020/7/12');</v>
      </c>
      <c r="H64" s="2"/>
      <c r="I64" s="2"/>
      <c r="J64" s="2"/>
      <c r="K64" s="2"/>
    </row>
    <row r="65" spans="1:11" x14ac:dyDescent="0.35">
      <c r="A65">
        <v>64</v>
      </c>
      <c r="B65">
        <v>23</v>
      </c>
      <c r="C65">
        <v>85508</v>
      </c>
      <c r="D65">
        <v>2412579</v>
      </c>
      <c r="E65" s="1">
        <v>44856</v>
      </c>
      <c r="F65" s="3" t="str">
        <f t="shared" si="1"/>
        <v>insert into policy values (64, 23, 85508, 2412579, '2022/10/22');</v>
      </c>
      <c r="G65" s="2" t="str">
        <f t="shared" si="2"/>
        <v>insert into policy values (64, 23, 85508, 2412579, '2022/10/22');</v>
      </c>
      <c r="H65" s="2"/>
      <c r="I65" s="2"/>
      <c r="J65" s="2"/>
      <c r="K65" s="2"/>
    </row>
    <row r="66" spans="1:11" x14ac:dyDescent="0.35">
      <c r="A66">
        <v>65</v>
      </c>
      <c r="B66">
        <v>3</v>
      </c>
      <c r="C66">
        <v>15475</v>
      </c>
      <c r="D66">
        <v>10664591</v>
      </c>
      <c r="E66" s="1">
        <v>45399</v>
      </c>
      <c r="F66" s="3" t="str">
        <f t="shared" si="1"/>
        <v>insert into policy values (65, 3, 15475, 10664591, '2024/4/17');</v>
      </c>
      <c r="G66" s="2" t="str">
        <f t="shared" ref="G66:G97" si="3">SUBSTITUTE(F66, "'NULL'", "NULL" )</f>
        <v>insert into policy values (65, 3, 15475, 10664591, '2024/4/17');</v>
      </c>
      <c r="H66" s="2"/>
      <c r="I66" s="2"/>
      <c r="J66" s="2"/>
      <c r="K66" s="2"/>
    </row>
    <row r="67" spans="1:11" x14ac:dyDescent="0.35">
      <c r="A67">
        <v>66</v>
      </c>
      <c r="B67">
        <v>21</v>
      </c>
      <c r="C67">
        <v>81492</v>
      </c>
      <c r="D67">
        <v>4396802</v>
      </c>
      <c r="E67" s="1">
        <v>44636</v>
      </c>
      <c r="F67" s="3" t="str">
        <f t="shared" ref="F67:F126" si="4">"insert into policy values ("&amp;A67&amp;", "&amp;B67&amp;", "&amp;C67&amp;", "&amp;D67&amp;", '"&amp;IF(E67="NULL",E67,YEAR(E67)&amp;"/"&amp;MONTH(E67)&amp;"/"&amp;DAY(E67))&amp;"');"</f>
        <v>insert into policy values (66, 21, 81492, 4396802, '2022/3/16');</v>
      </c>
      <c r="G67" s="2" t="str">
        <f t="shared" si="3"/>
        <v>insert into policy values (66, 21, 81492, 4396802, '2022/3/16');</v>
      </c>
      <c r="H67" s="2"/>
      <c r="I67" s="2"/>
      <c r="J67" s="2"/>
      <c r="K67" s="2"/>
    </row>
    <row r="68" spans="1:11" x14ac:dyDescent="0.35">
      <c r="A68">
        <v>67</v>
      </c>
      <c r="B68">
        <v>5</v>
      </c>
      <c r="C68">
        <v>20579</v>
      </c>
      <c r="D68">
        <v>3213085</v>
      </c>
      <c r="E68" s="1">
        <v>45545</v>
      </c>
      <c r="F68" s="3" t="str">
        <f t="shared" si="4"/>
        <v>insert into policy values (67, 5, 20579, 3213085, '2024/9/10');</v>
      </c>
      <c r="G68" s="2" t="str">
        <f t="shared" si="3"/>
        <v>insert into policy values (67, 5, 20579, 3213085, '2024/9/10');</v>
      </c>
      <c r="H68" s="2"/>
      <c r="I68" s="2"/>
      <c r="J68" s="2"/>
      <c r="K68" s="2"/>
    </row>
    <row r="69" spans="1:11" x14ac:dyDescent="0.35">
      <c r="A69">
        <v>68</v>
      </c>
      <c r="B69">
        <v>17</v>
      </c>
      <c r="C69">
        <v>62090</v>
      </c>
      <c r="D69">
        <v>5756360</v>
      </c>
      <c r="E69" s="1">
        <v>44543</v>
      </c>
      <c r="F69" s="3" t="str">
        <f t="shared" si="4"/>
        <v>insert into policy values (68, 17, 62090, 5756360, '2021/12/13');</v>
      </c>
      <c r="G69" s="2" t="str">
        <f t="shared" si="3"/>
        <v>insert into policy values (68, 17, 62090, 5756360, '2021/12/13');</v>
      </c>
      <c r="H69" s="2"/>
      <c r="I69" s="2"/>
      <c r="J69" s="2"/>
      <c r="K69" s="2"/>
    </row>
    <row r="70" spans="1:11" x14ac:dyDescent="0.35">
      <c r="A70">
        <v>69</v>
      </c>
      <c r="B70">
        <v>21</v>
      </c>
      <c r="C70">
        <v>81492</v>
      </c>
      <c r="D70">
        <v>10575354</v>
      </c>
      <c r="E70" s="1">
        <v>45332</v>
      </c>
      <c r="F70" s="3" t="str">
        <f t="shared" si="4"/>
        <v>insert into policy values (69, 21, 81492, 10575354, '2024/2/10');</v>
      </c>
      <c r="G70" s="2" t="str">
        <f t="shared" si="3"/>
        <v>insert into policy values (69, 21, 81492, 10575354, '2024/2/10');</v>
      </c>
      <c r="H70" s="2"/>
      <c r="I70" s="2"/>
      <c r="J70" s="2"/>
      <c r="K70" s="2"/>
    </row>
    <row r="71" spans="1:11" x14ac:dyDescent="0.35">
      <c r="A71">
        <v>70</v>
      </c>
      <c r="B71">
        <v>6</v>
      </c>
      <c r="C71">
        <v>23054</v>
      </c>
      <c r="D71">
        <v>10771974</v>
      </c>
      <c r="E71" s="1">
        <v>44200</v>
      </c>
      <c r="F71" s="3" t="str">
        <f t="shared" si="4"/>
        <v>insert into policy values (70, 6, 23054, 10771974, '2021/1/4');</v>
      </c>
      <c r="G71" s="2" t="str">
        <f t="shared" si="3"/>
        <v>insert into policy values (70, 6, 23054, 10771974, '2021/1/4');</v>
      </c>
      <c r="H71" s="2"/>
      <c r="I71" s="2"/>
      <c r="J71" s="2"/>
      <c r="K71" s="2"/>
    </row>
    <row r="72" spans="1:11" x14ac:dyDescent="0.35">
      <c r="A72">
        <v>71</v>
      </c>
      <c r="B72">
        <v>25</v>
      </c>
      <c r="C72">
        <v>97180</v>
      </c>
      <c r="D72">
        <v>6507850</v>
      </c>
      <c r="E72" s="1">
        <v>45305</v>
      </c>
      <c r="F72" s="3" t="str">
        <f t="shared" si="4"/>
        <v>insert into policy values (71, 25, 97180, 6507850, '2024/1/14');</v>
      </c>
      <c r="G72" s="2" t="str">
        <f t="shared" si="3"/>
        <v>insert into policy values (71, 25, 97180, 6507850, '2024/1/14');</v>
      </c>
      <c r="H72" s="2"/>
      <c r="I72" s="2"/>
      <c r="J72" s="2"/>
      <c r="K72" s="2"/>
    </row>
    <row r="73" spans="1:11" x14ac:dyDescent="0.35">
      <c r="A73">
        <v>72</v>
      </c>
      <c r="B73">
        <v>13</v>
      </c>
      <c r="C73">
        <v>53202</v>
      </c>
      <c r="D73">
        <v>3204302</v>
      </c>
      <c r="E73" s="1">
        <v>44543</v>
      </c>
      <c r="F73" s="3" t="str">
        <f t="shared" si="4"/>
        <v>insert into policy values (72, 13, 53202, 3204302, '2021/12/13');</v>
      </c>
      <c r="G73" s="2" t="str">
        <f t="shared" si="3"/>
        <v>insert into policy values (72, 13, 53202, 3204302, '2021/12/13');</v>
      </c>
      <c r="H73" s="2"/>
      <c r="I73" s="2"/>
      <c r="J73" s="2"/>
      <c r="K73" s="2"/>
    </row>
    <row r="74" spans="1:11" x14ac:dyDescent="0.35">
      <c r="A74">
        <v>73</v>
      </c>
      <c r="B74">
        <v>17</v>
      </c>
      <c r="C74">
        <v>62090</v>
      </c>
      <c r="D74">
        <v>3068676</v>
      </c>
      <c r="E74" s="1">
        <v>44942</v>
      </c>
      <c r="F74" s="3" t="str">
        <f t="shared" si="4"/>
        <v>insert into policy values (73, 17, 62090, 3068676, '2023/1/16');</v>
      </c>
      <c r="G74" s="2" t="str">
        <f t="shared" si="3"/>
        <v>insert into policy values (73, 17, 62090, 3068676, '2023/1/16');</v>
      </c>
      <c r="H74" s="2"/>
      <c r="I74" s="2"/>
      <c r="J74" s="2"/>
      <c r="K74" s="2"/>
    </row>
    <row r="75" spans="1:11" x14ac:dyDescent="0.35">
      <c r="A75">
        <v>74</v>
      </c>
      <c r="B75">
        <v>18</v>
      </c>
      <c r="C75">
        <v>66111</v>
      </c>
      <c r="D75">
        <v>11771364</v>
      </c>
      <c r="E75" s="1">
        <v>45413</v>
      </c>
      <c r="F75" s="3" t="str">
        <f t="shared" si="4"/>
        <v>insert into policy values (74, 18, 66111, 11771364, '2024/5/1');</v>
      </c>
      <c r="G75" s="2" t="str">
        <f t="shared" si="3"/>
        <v>insert into policy values (74, 18, 66111, 11771364, '2024/5/1');</v>
      </c>
      <c r="H75" s="2"/>
      <c r="I75" s="2"/>
      <c r="J75" s="2"/>
      <c r="K75" s="2"/>
    </row>
    <row r="76" spans="1:11" x14ac:dyDescent="0.35">
      <c r="A76">
        <v>75</v>
      </c>
      <c r="B76">
        <v>21</v>
      </c>
      <c r="C76">
        <v>81393</v>
      </c>
      <c r="D76">
        <v>4510596</v>
      </c>
      <c r="E76" s="1">
        <v>44045</v>
      </c>
      <c r="F76" s="3" t="str">
        <f t="shared" si="4"/>
        <v>insert into policy values (75, 21, 81393, 4510596, '2020/8/2');</v>
      </c>
      <c r="G76" s="2" t="str">
        <f t="shared" si="3"/>
        <v>insert into policy values (75, 21, 81393, 4510596, '2020/8/2');</v>
      </c>
      <c r="H76" s="2"/>
      <c r="I76" s="2"/>
      <c r="J76" s="2"/>
      <c r="K76" s="2"/>
    </row>
    <row r="77" spans="1:11" x14ac:dyDescent="0.35">
      <c r="A77">
        <v>76</v>
      </c>
      <c r="B77">
        <v>3</v>
      </c>
      <c r="C77">
        <v>15572</v>
      </c>
      <c r="D77">
        <v>16095105</v>
      </c>
      <c r="E77" s="1">
        <v>45657</v>
      </c>
      <c r="F77" s="3" t="str">
        <f t="shared" si="4"/>
        <v>insert into policy values (76, 3, 15572, 16095105, '2024/12/31');</v>
      </c>
      <c r="G77" s="2" t="str">
        <f t="shared" si="3"/>
        <v>insert into policy values (76, 3, 15572, 16095105, '2024/12/31');</v>
      </c>
      <c r="H77" s="2"/>
      <c r="I77" s="2"/>
      <c r="J77" s="2"/>
      <c r="K77" s="2"/>
    </row>
    <row r="78" spans="1:11" x14ac:dyDescent="0.35">
      <c r="A78">
        <v>77</v>
      </c>
      <c r="B78">
        <v>19</v>
      </c>
      <c r="C78">
        <v>68779</v>
      </c>
      <c r="D78">
        <v>18944099</v>
      </c>
      <c r="E78" t="s">
        <v>79</v>
      </c>
      <c r="F78" s="3" t="str">
        <f t="shared" si="4"/>
        <v>insert into policy values (77, 19, 68779, 18944099, 'NULL');</v>
      </c>
      <c r="G78" s="2" t="str">
        <f t="shared" si="3"/>
        <v>insert into policy values (77, 19, 68779, 18944099, NULL);</v>
      </c>
      <c r="H78" s="2"/>
      <c r="I78" s="2"/>
      <c r="J78" s="2"/>
      <c r="K78" s="2"/>
    </row>
    <row r="79" spans="1:11" x14ac:dyDescent="0.35">
      <c r="A79">
        <v>78</v>
      </c>
      <c r="B79">
        <v>18</v>
      </c>
      <c r="C79">
        <v>66111</v>
      </c>
      <c r="D79">
        <v>15418119</v>
      </c>
      <c r="E79" s="1">
        <v>44147</v>
      </c>
      <c r="F79" s="3" t="str">
        <f t="shared" si="4"/>
        <v>insert into policy values (78, 18, 66111, 15418119, '2020/11/12');</v>
      </c>
      <c r="G79" s="2" t="str">
        <f t="shared" si="3"/>
        <v>insert into policy values (78, 18, 66111, 15418119, '2020/11/12');</v>
      </c>
      <c r="H79" s="2"/>
      <c r="I79" s="2"/>
      <c r="J79" s="2"/>
      <c r="K79" s="2"/>
    </row>
    <row r="80" spans="1:11" x14ac:dyDescent="0.35">
      <c r="A80">
        <v>79</v>
      </c>
      <c r="B80">
        <v>4</v>
      </c>
      <c r="C80">
        <v>18609</v>
      </c>
      <c r="D80">
        <v>4011904</v>
      </c>
      <c r="E80" s="1">
        <v>44342</v>
      </c>
      <c r="F80" s="3" t="str">
        <f t="shared" si="4"/>
        <v>insert into policy values (79, 4, 18609, 4011904, '2021/5/26');</v>
      </c>
      <c r="G80" s="2" t="str">
        <f t="shared" si="3"/>
        <v>insert into policy values (79, 4, 18609, 4011904, '2021/5/26');</v>
      </c>
      <c r="H80" s="2"/>
      <c r="I80" s="2"/>
      <c r="J80" s="2"/>
      <c r="K80" s="2"/>
    </row>
    <row r="81" spans="1:11" x14ac:dyDescent="0.35">
      <c r="A81">
        <v>80</v>
      </c>
      <c r="B81">
        <v>23</v>
      </c>
      <c r="C81">
        <v>87051</v>
      </c>
      <c r="D81">
        <v>9126351</v>
      </c>
      <c r="E81" s="1">
        <v>45752</v>
      </c>
      <c r="F81" s="3" t="str">
        <f t="shared" si="4"/>
        <v>insert into policy values (80, 23, 87051, 9126351, '2025/4/5');</v>
      </c>
      <c r="G81" s="2" t="str">
        <f t="shared" si="3"/>
        <v>insert into policy values (80, 23, 87051, 9126351, '2025/4/5');</v>
      </c>
      <c r="H81" s="2"/>
      <c r="I81" s="2"/>
      <c r="J81" s="2"/>
      <c r="K81" s="2"/>
    </row>
    <row r="82" spans="1:11" x14ac:dyDescent="0.35">
      <c r="A82">
        <v>81</v>
      </c>
      <c r="B82">
        <v>5</v>
      </c>
      <c r="C82">
        <v>21499</v>
      </c>
      <c r="D82">
        <v>10199390</v>
      </c>
      <c r="E82" s="1">
        <v>45644</v>
      </c>
      <c r="F82" s="3" t="str">
        <f t="shared" si="4"/>
        <v>insert into policy values (81, 5, 21499, 10199390, '2024/12/18');</v>
      </c>
      <c r="G82" s="2" t="str">
        <f t="shared" si="3"/>
        <v>insert into policy values (81, 5, 21499, 10199390, '2024/12/18');</v>
      </c>
      <c r="H82" s="2"/>
      <c r="I82" s="2"/>
      <c r="J82" s="2"/>
      <c r="K82" s="2"/>
    </row>
    <row r="83" spans="1:11" x14ac:dyDescent="0.35">
      <c r="A83">
        <v>82</v>
      </c>
      <c r="B83">
        <v>12</v>
      </c>
      <c r="C83">
        <v>52166</v>
      </c>
      <c r="D83">
        <v>5359082</v>
      </c>
      <c r="E83" s="1">
        <v>44374</v>
      </c>
      <c r="F83" s="3" t="str">
        <f t="shared" si="4"/>
        <v>insert into policy values (82, 12, 52166, 5359082, '2021/6/27');</v>
      </c>
      <c r="G83" s="2" t="str">
        <f t="shared" si="3"/>
        <v>insert into policy values (82, 12, 52166, 5359082, '2021/6/27');</v>
      </c>
      <c r="H83" s="2"/>
      <c r="I83" s="2"/>
      <c r="J83" s="2"/>
      <c r="K83" s="2"/>
    </row>
    <row r="84" spans="1:11" x14ac:dyDescent="0.35">
      <c r="A84">
        <v>83</v>
      </c>
      <c r="B84">
        <v>14</v>
      </c>
      <c r="C84">
        <v>57055</v>
      </c>
      <c r="D84">
        <v>17622044</v>
      </c>
      <c r="E84" s="1">
        <v>45571</v>
      </c>
      <c r="F84" s="3" t="str">
        <f t="shared" si="4"/>
        <v>insert into policy values (83, 14, 57055, 17622044, '2024/10/6');</v>
      </c>
      <c r="G84" s="2" t="str">
        <f t="shared" si="3"/>
        <v>insert into policy values (83, 14, 57055, 17622044, '2024/10/6');</v>
      </c>
      <c r="H84" s="2"/>
      <c r="I84" s="2"/>
      <c r="J84" s="2"/>
      <c r="K84" s="2"/>
    </row>
    <row r="85" spans="1:11" x14ac:dyDescent="0.35">
      <c r="A85">
        <v>84</v>
      </c>
      <c r="B85">
        <v>9</v>
      </c>
      <c r="C85">
        <v>33586</v>
      </c>
      <c r="D85">
        <v>9407172</v>
      </c>
      <c r="E85" s="1">
        <v>44944</v>
      </c>
      <c r="F85" s="3" t="str">
        <f t="shared" si="4"/>
        <v>insert into policy values (84, 9, 33586, 9407172, '2023/1/18');</v>
      </c>
      <c r="G85" s="2" t="str">
        <f t="shared" si="3"/>
        <v>insert into policy values (84, 9, 33586, 9407172, '2023/1/18');</v>
      </c>
      <c r="H85" s="2"/>
      <c r="I85" s="2"/>
      <c r="J85" s="2"/>
      <c r="K85" s="2"/>
    </row>
    <row r="86" spans="1:11" x14ac:dyDescent="0.35">
      <c r="A86">
        <v>85</v>
      </c>
      <c r="B86">
        <v>17</v>
      </c>
      <c r="C86">
        <v>62812</v>
      </c>
      <c r="D86">
        <v>12375650</v>
      </c>
      <c r="E86" s="1">
        <v>45849</v>
      </c>
      <c r="F86" s="3" t="str">
        <f t="shared" si="4"/>
        <v>insert into policy values (85, 17, 62812, 12375650, '2025/7/11');</v>
      </c>
      <c r="G86" s="2" t="str">
        <f t="shared" si="3"/>
        <v>insert into policy values (85, 17, 62812, 12375650, '2025/7/11');</v>
      </c>
      <c r="H86" s="2"/>
      <c r="I86" s="2"/>
      <c r="J86" s="2"/>
      <c r="K86" s="2"/>
    </row>
    <row r="87" spans="1:11" x14ac:dyDescent="0.35">
      <c r="A87">
        <v>86</v>
      </c>
      <c r="B87">
        <v>12</v>
      </c>
      <c r="C87">
        <v>52166</v>
      </c>
      <c r="D87">
        <v>9911821</v>
      </c>
      <c r="E87" s="1">
        <v>45165</v>
      </c>
      <c r="F87" s="3" t="str">
        <f t="shared" si="4"/>
        <v>insert into policy values (86, 12, 52166, 9911821, '2023/8/27');</v>
      </c>
      <c r="G87" s="2" t="str">
        <f t="shared" si="3"/>
        <v>insert into policy values (86, 12, 52166, 9911821, '2023/8/27');</v>
      </c>
      <c r="H87" s="2"/>
      <c r="I87" s="2"/>
      <c r="J87" s="2"/>
      <c r="K87" s="2"/>
    </row>
    <row r="88" spans="1:11" x14ac:dyDescent="0.35">
      <c r="A88">
        <v>87</v>
      </c>
      <c r="B88">
        <v>21</v>
      </c>
      <c r="C88">
        <v>81492</v>
      </c>
      <c r="D88">
        <v>7067374</v>
      </c>
      <c r="E88" s="1">
        <v>45405</v>
      </c>
      <c r="F88" s="3" t="str">
        <f t="shared" si="4"/>
        <v>insert into policy values (87, 21, 81492, 7067374, '2024/4/23');</v>
      </c>
      <c r="G88" s="2" t="str">
        <f t="shared" si="3"/>
        <v>insert into policy values (87, 21, 81492, 7067374, '2024/4/23');</v>
      </c>
      <c r="H88" s="2"/>
      <c r="I88" s="2"/>
      <c r="J88" s="2"/>
      <c r="K88" s="2"/>
    </row>
    <row r="89" spans="1:11" x14ac:dyDescent="0.35">
      <c r="A89">
        <v>88</v>
      </c>
      <c r="B89">
        <v>21</v>
      </c>
      <c r="C89">
        <v>81393</v>
      </c>
      <c r="D89">
        <v>19298063</v>
      </c>
      <c r="E89" s="1">
        <v>45518</v>
      </c>
      <c r="F89" s="3" t="str">
        <f t="shared" si="4"/>
        <v>insert into policy values (88, 21, 81393, 19298063, '2024/8/14');</v>
      </c>
      <c r="G89" s="2" t="str">
        <f t="shared" si="3"/>
        <v>insert into policy values (88, 21, 81393, 19298063, '2024/8/14');</v>
      </c>
      <c r="H89" s="2"/>
      <c r="I89" s="2"/>
      <c r="J89" s="2"/>
      <c r="K89" s="2"/>
    </row>
    <row r="90" spans="1:11" x14ac:dyDescent="0.35">
      <c r="A90">
        <v>89</v>
      </c>
      <c r="B90">
        <v>20</v>
      </c>
      <c r="C90">
        <v>75603</v>
      </c>
      <c r="D90">
        <v>10558675</v>
      </c>
      <c r="E90" s="1">
        <v>45447</v>
      </c>
      <c r="F90" s="3" t="str">
        <f t="shared" si="4"/>
        <v>insert into policy values (89, 20, 75603, 10558675, '2024/6/4');</v>
      </c>
      <c r="G90" s="2" t="str">
        <f t="shared" si="3"/>
        <v>insert into policy values (89, 20, 75603, 10558675, '2024/6/4');</v>
      </c>
      <c r="H90" s="2"/>
      <c r="I90" s="2"/>
      <c r="J90" s="2"/>
      <c r="K90" s="2"/>
    </row>
    <row r="91" spans="1:11" x14ac:dyDescent="0.35">
      <c r="A91">
        <v>90</v>
      </c>
      <c r="B91">
        <v>20</v>
      </c>
      <c r="C91">
        <v>72224</v>
      </c>
      <c r="D91">
        <v>14408467</v>
      </c>
      <c r="E91" s="1">
        <v>44442</v>
      </c>
      <c r="F91" s="3" t="str">
        <f t="shared" si="4"/>
        <v>insert into policy values (90, 20, 72224, 14408467, '2021/9/3');</v>
      </c>
      <c r="G91" s="2" t="str">
        <f t="shared" si="3"/>
        <v>insert into policy values (90, 20, 72224, 14408467, '2021/9/3');</v>
      </c>
      <c r="H91" s="2"/>
      <c r="I91" s="2"/>
      <c r="J91" s="2"/>
      <c r="K91" s="2"/>
    </row>
    <row r="92" spans="1:11" x14ac:dyDescent="0.35">
      <c r="A92">
        <v>91</v>
      </c>
      <c r="B92">
        <v>24</v>
      </c>
      <c r="C92">
        <v>93096</v>
      </c>
      <c r="D92">
        <v>11070600</v>
      </c>
      <c r="E92" s="1">
        <v>45423</v>
      </c>
      <c r="F92" s="3" t="str">
        <f t="shared" si="4"/>
        <v>insert into policy values (91, 24, 93096, 11070600, '2024/5/11');</v>
      </c>
      <c r="G92" s="2" t="str">
        <f t="shared" si="3"/>
        <v>insert into policy values (91, 24, 93096, 11070600, '2024/5/11');</v>
      </c>
      <c r="H92" s="2"/>
      <c r="I92" s="2"/>
      <c r="J92" s="2"/>
      <c r="K92" s="2"/>
    </row>
    <row r="93" spans="1:11" x14ac:dyDescent="0.35">
      <c r="A93">
        <v>92</v>
      </c>
      <c r="B93">
        <v>8</v>
      </c>
      <c r="C93">
        <v>29092</v>
      </c>
      <c r="D93">
        <v>14705077</v>
      </c>
      <c r="E93" s="1">
        <v>45292</v>
      </c>
      <c r="F93" s="3" t="str">
        <f t="shared" si="4"/>
        <v>insert into policy values (92, 8, 29092, 14705077, '2024/1/1');</v>
      </c>
      <c r="G93" s="2" t="str">
        <f t="shared" si="3"/>
        <v>insert into policy values (92, 8, 29092, 14705077, '2024/1/1');</v>
      </c>
      <c r="H93" s="2"/>
      <c r="I93" s="2"/>
      <c r="J93" s="2"/>
      <c r="K93" s="2"/>
    </row>
    <row r="94" spans="1:11" x14ac:dyDescent="0.35">
      <c r="A94">
        <v>93</v>
      </c>
      <c r="B94">
        <v>14</v>
      </c>
      <c r="C94">
        <v>56563</v>
      </c>
      <c r="D94">
        <v>12965983</v>
      </c>
      <c r="E94" s="1">
        <v>44247</v>
      </c>
      <c r="F94" s="3" t="str">
        <f t="shared" si="4"/>
        <v>insert into policy values (93, 14, 56563, 12965983, '2021/2/20');</v>
      </c>
      <c r="G94" s="2" t="str">
        <f t="shared" si="3"/>
        <v>insert into policy values (93, 14, 56563, 12965983, '2021/2/20');</v>
      </c>
      <c r="H94" s="2"/>
      <c r="I94" s="2"/>
      <c r="J94" s="2"/>
      <c r="K94" s="2"/>
    </row>
    <row r="95" spans="1:11" x14ac:dyDescent="0.35">
      <c r="A95">
        <v>94</v>
      </c>
      <c r="B95">
        <v>17</v>
      </c>
      <c r="C95">
        <v>62812</v>
      </c>
      <c r="D95">
        <v>18991527</v>
      </c>
      <c r="E95" s="1">
        <v>44733</v>
      </c>
      <c r="F95" s="3" t="str">
        <f t="shared" si="4"/>
        <v>insert into policy values (94, 17, 62812, 18991527, '2022/6/21');</v>
      </c>
      <c r="G95" s="2" t="str">
        <f t="shared" si="3"/>
        <v>insert into policy values (94, 17, 62812, 18991527, '2022/6/21');</v>
      </c>
      <c r="H95" s="2"/>
      <c r="I95" s="2"/>
      <c r="J95" s="2"/>
      <c r="K95" s="2"/>
    </row>
    <row r="96" spans="1:11" x14ac:dyDescent="0.35">
      <c r="A96">
        <v>95</v>
      </c>
      <c r="B96">
        <v>9</v>
      </c>
      <c r="C96">
        <v>33586</v>
      </c>
      <c r="D96">
        <v>14242380</v>
      </c>
      <c r="E96" s="1">
        <v>44399</v>
      </c>
      <c r="F96" s="3" t="str">
        <f t="shared" si="4"/>
        <v>insert into policy values (95, 9, 33586, 14242380, '2021/7/22');</v>
      </c>
      <c r="G96" s="2" t="str">
        <f t="shared" si="3"/>
        <v>insert into policy values (95, 9, 33586, 14242380, '2021/7/22');</v>
      </c>
      <c r="H96" s="2"/>
      <c r="I96" s="2"/>
      <c r="J96" s="2"/>
      <c r="K96" s="2"/>
    </row>
    <row r="97" spans="1:11" x14ac:dyDescent="0.35">
      <c r="A97">
        <v>96</v>
      </c>
      <c r="B97">
        <v>8</v>
      </c>
      <c r="C97">
        <v>29092</v>
      </c>
      <c r="D97" t="s">
        <v>79</v>
      </c>
      <c r="E97" s="1">
        <v>45065</v>
      </c>
      <c r="F97" s="3" t="str">
        <f t="shared" si="4"/>
        <v>insert into policy values (96, 8, 29092, NULL, '2023/5/19');</v>
      </c>
      <c r="G97" s="2" t="str">
        <f t="shared" si="3"/>
        <v>insert into policy values (96, 8, 29092, NULL, '2023/5/19');</v>
      </c>
      <c r="H97" s="2"/>
      <c r="I97" s="2"/>
      <c r="J97" s="2"/>
      <c r="K97" s="2"/>
    </row>
    <row r="98" spans="1:11" x14ac:dyDescent="0.35">
      <c r="A98">
        <v>97</v>
      </c>
      <c r="B98">
        <v>21</v>
      </c>
      <c r="C98">
        <v>81492</v>
      </c>
      <c r="D98">
        <v>7260130</v>
      </c>
      <c r="E98" s="1">
        <v>44296</v>
      </c>
      <c r="F98" s="3" t="str">
        <f t="shared" si="4"/>
        <v>insert into policy values (97, 21, 81492, 7260130, '2021/4/10');</v>
      </c>
      <c r="G98" s="2" t="str">
        <f t="shared" ref="G98:G129" si="5">SUBSTITUTE(F98, "'NULL'", "NULL" )</f>
        <v>insert into policy values (97, 21, 81492, 7260130, '2021/4/10');</v>
      </c>
      <c r="H98" s="2"/>
      <c r="I98" s="2"/>
      <c r="J98" s="2"/>
      <c r="K98" s="2"/>
    </row>
    <row r="99" spans="1:11" x14ac:dyDescent="0.35">
      <c r="A99">
        <v>98</v>
      </c>
      <c r="B99">
        <v>6</v>
      </c>
      <c r="C99">
        <v>23858</v>
      </c>
      <c r="D99">
        <v>14921264</v>
      </c>
      <c r="E99" s="1">
        <v>45662</v>
      </c>
      <c r="F99" s="3" t="str">
        <f t="shared" si="4"/>
        <v>insert into policy values (98, 6, 23858, 14921264, '2025/1/5');</v>
      </c>
      <c r="G99" s="2" t="str">
        <f t="shared" si="5"/>
        <v>insert into policy values (98, 6, 23858, 14921264, '2025/1/5');</v>
      </c>
      <c r="H99" s="2"/>
      <c r="I99" s="2"/>
      <c r="J99" s="2"/>
      <c r="K99" s="2"/>
    </row>
    <row r="100" spans="1:11" x14ac:dyDescent="0.35">
      <c r="A100">
        <v>99</v>
      </c>
      <c r="B100">
        <v>5</v>
      </c>
      <c r="C100">
        <v>21499</v>
      </c>
      <c r="D100">
        <v>3033245</v>
      </c>
      <c r="E100" s="1">
        <v>45353</v>
      </c>
      <c r="F100" s="3" t="str">
        <f t="shared" si="4"/>
        <v>insert into policy values (99, 5, 21499, 3033245, '2024/3/2');</v>
      </c>
      <c r="G100" s="2" t="str">
        <f t="shared" si="5"/>
        <v>insert into policy values (99, 5, 21499, 3033245, '2024/3/2');</v>
      </c>
      <c r="H100" s="2"/>
      <c r="I100" s="2"/>
      <c r="J100" s="2"/>
      <c r="K100" s="2"/>
    </row>
    <row r="101" spans="1:11" x14ac:dyDescent="0.35">
      <c r="A101">
        <v>100</v>
      </c>
      <c r="B101">
        <v>2</v>
      </c>
      <c r="C101">
        <v>14719</v>
      </c>
      <c r="D101">
        <v>9925269</v>
      </c>
      <c r="E101" s="1">
        <v>44076</v>
      </c>
      <c r="F101" s="3" t="str">
        <f t="shared" si="4"/>
        <v>insert into policy values (100, 2, 14719, 9925269, '2020/9/2');</v>
      </c>
      <c r="G101" s="2" t="str">
        <f t="shared" si="5"/>
        <v>insert into policy values (100, 2, 14719, 9925269, '2020/9/2');</v>
      </c>
      <c r="H101" s="2"/>
      <c r="I101" s="2"/>
      <c r="J101" s="2"/>
      <c r="K101" s="2"/>
    </row>
    <row r="102" spans="1:11" x14ac:dyDescent="0.35">
      <c r="A102">
        <v>101</v>
      </c>
      <c r="B102">
        <v>16</v>
      </c>
      <c r="C102">
        <v>61791</v>
      </c>
      <c r="D102">
        <v>1144327</v>
      </c>
      <c r="E102" s="1">
        <v>44894</v>
      </c>
      <c r="F102" s="3" t="str">
        <f t="shared" si="4"/>
        <v>insert into policy values (101, 16, 61791, 1144327, '2022/11/29');</v>
      </c>
      <c r="G102" s="2" t="str">
        <f t="shared" si="5"/>
        <v>insert into policy values (101, 16, 61791, 1144327, '2022/11/29');</v>
      </c>
      <c r="H102" s="2"/>
      <c r="I102" s="2"/>
      <c r="J102" s="2"/>
      <c r="K102" s="2"/>
    </row>
    <row r="103" spans="1:11" x14ac:dyDescent="0.35">
      <c r="A103">
        <v>102</v>
      </c>
      <c r="B103">
        <v>18</v>
      </c>
      <c r="C103">
        <v>64006</v>
      </c>
      <c r="D103">
        <v>11855784</v>
      </c>
      <c r="E103" s="1">
        <v>44715</v>
      </c>
      <c r="F103" s="3" t="str">
        <f t="shared" si="4"/>
        <v>insert into policy values (102, 18, 64006, 11855784, '2022/6/3');</v>
      </c>
      <c r="G103" s="2" t="str">
        <f t="shared" si="5"/>
        <v>insert into policy values (102, 18, 64006, 11855784, '2022/6/3');</v>
      </c>
      <c r="H103" s="2"/>
      <c r="I103" s="2"/>
      <c r="J103" s="2"/>
      <c r="K103" s="2"/>
    </row>
    <row r="104" spans="1:11" x14ac:dyDescent="0.35">
      <c r="A104">
        <v>103</v>
      </c>
      <c r="B104">
        <v>16</v>
      </c>
      <c r="C104">
        <v>61791</v>
      </c>
      <c r="D104">
        <v>16555012</v>
      </c>
      <c r="E104" s="1">
        <v>45006</v>
      </c>
      <c r="F104" s="3" t="str">
        <f t="shared" si="4"/>
        <v>insert into policy values (103, 16, 61791, 16555012, '2023/3/21');</v>
      </c>
      <c r="G104" s="2" t="str">
        <f t="shared" si="5"/>
        <v>insert into policy values (103, 16, 61791, 16555012, '2023/3/21');</v>
      </c>
      <c r="H104" s="2"/>
      <c r="I104" s="2"/>
      <c r="J104" s="2"/>
      <c r="K104" s="2"/>
    </row>
    <row r="105" spans="1:11" x14ac:dyDescent="0.35">
      <c r="A105">
        <v>104</v>
      </c>
      <c r="B105">
        <v>24</v>
      </c>
      <c r="C105">
        <v>93096</v>
      </c>
      <c r="D105">
        <v>5484385</v>
      </c>
      <c r="E105" s="1">
        <v>44444</v>
      </c>
      <c r="F105" s="3" t="str">
        <f t="shared" si="4"/>
        <v>insert into policy values (104, 24, 93096, 5484385, '2021/9/5');</v>
      </c>
      <c r="G105" s="2" t="str">
        <f t="shared" si="5"/>
        <v>insert into policy values (104, 24, 93096, 5484385, '2021/9/5');</v>
      </c>
      <c r="H105" s="2"/>
      <c r="I105" s="2"/>
      <c r="J105" s="2"/>
      <c r="K105" s="2"/>
    </row>
    <row r="106" spans="1:11" x14ac:dyDescent="0.35">
      <c r="A106">
        <v>105</v>
      </c>
      <c r="B106">
        <v>6</v>
      </c>
      <c r="C106">
        <v>23858</v>
      </c>
      <c r="D106">
        <v>959432</v>
      </c>
      <c r="E106" s="1">
        <v>45247</v>
      </c>
      <c r="F106" s="3" t="str">
        <f t="shared" si="4"/>
        <v>insert into policy values (105, 6, 23858, 959432, '2023/11/17');</v>
      </c>
      <c r="G106" s="2" t="str">
        <f t="shared" si="5"/>
        <v>insert into policy values (105, 6, 23858, 959432, '2023/11/17');</v>
      </c>
      <c r="H106" s="2"/>
      <c r="I106" s="2"/>
      <c r="J106" s="2"/>
      <c r="K106" s="2"/>
    </row>
    <row r="107" spans="1:11" x14ac:dyDescent="0.35">
      <c r="A107">
        <v>106</v>
      </c>
      <c r="B107">
        <v>24</v>
      </c>
      <c r="C107">
        <v>93096</v>
      </c>
      <c r="D107">
        <v>2186943</v>
      </c>
      <c r="E107" s="1">
        <v>44898</v>
      </c>
      <c r="F107" s="3" t="str">
        <f t="shared" si="4"/>
        <v>insert into policy values (106, 24, 93096, 2186943, '2022/12/3');</v>
      </c>
      <c r="G107" s="2" t="str">
        <f t="shared" si="5"/>
        <v>insert into policy values (106, 24, 93096, 2186943, '2022/12/3');</v>
      </c>
      <c r="H107" s="2"/>
      <c r="I107" s="2"/>
      <c r="J107" s="2"/>
      <c r="K107" s="2"/>
    </row>
    <row r="108" spans="1:11" x14ac:dyDescent="0.35">
      <c r="A108">
        <v>107</v>
      </c>
      <c r="B108">
        <v>2</v>
      </c>
      <c r="C108">
        <v>14719</v>
      </c>
      <c r="D108">
        <v>532500</v>
      </c>
      <c r="E108" s="1">
        <v>44923</v>
      </c>
      <c r="F108" s="3" t="str">
        <f t="shared" si="4"/>
        <v>insert into policy values (107, 2, 14719, 532500, '2022/12/28');</v>
      </c>
      <c r="G108" s="2" t="str">
        <f t="shared" si="5"/>
        <v>insert into policy values (107, 2, 14719, 532500, '2022/12/28');</v>
      </c>
      <c r="H108" s="2"/>
      <c r="I108" s="2"/>
      <c r="J108" s="2"/>
      <c r="K108" s="2"/>
    </row>
    <row r="109" spans="1:11" x14ac:dyDescent="0.35">
      <c r="A109">
        <v>108</v>
      </c>
      <c r="B109">
        <v>23</v>
      </c>
      <c r="C109">
        <v>87051</v>
      </c>
      <c r="D109">
        <v>8771267</v>
      </c>
      <c r="E109" s="1">
        <v>45529</v>
      </c>
      <c r="F109" s="3" t="str">
        <f t="shared" si="4"/>
        <v>insert into policy values (108, 23, 87051, 8771267, '2024/8/25');</v>
      </c>
      <c r="G109" s="2" t="str">
        <f t="shared" si="5"/>
        <v>insert into policy values (108, 23, 87051, 8771267, '2024/8/25');</v>
      </c>
      <c r="H109" s="2"/>
      <c r="I109" s="2"/>
      <c r="J109" s="2"/>
      <c r="K109" s="2"/>
    </row>
    <row r="110" spans="1:11" x14ac:dyDescent="0.35">
      <c r="A110">
        <v>109</v>
      </c>
      <c r="B110">
        <v>17</v>
      </c>
      <c r="C110">
        <v>62812</v>
      </c>
      <c r="D110">
        <v>1590861</v>
      </c>
      <c r="E110" s="1">
        <v>44177</v>
      </c>
      <c r="F110" s="3" t="str">
        <f t="shared" si="4"/>
        <v>insert into policy values (109, 17, 62812, 1590861, '2020/12/12');</v>
      </c>
      <c r="G110" s="2" t="str">
        <f t="shared" si="5"/>
        <v>insert into policy values (109, 17, 62812, 1590861, '2020/12/12');</v>
      </c>
      <c r="H110" s="2"/>
      <c r="I110" s="2"/>
      <c r="J110" s="2"/>
      <c r="K110" s="2"/>
    </row>
    <row r="111" spans="1:11" x14ac:dyDescent="0.35">
      <c r="A111">
        <v>110</v>
      </c>
      <c r="B111">
        <v>3</v>
      </c>
      <c r="C111">
        <v>15475</v>
      </c>
      <c r="D111">
        <v>5250129</v>
      </c>
      <c r="E111" s="1">
        <v>45755</v>
      </c>
      <c r="F111" s="3" t="str">
        <f t="shared" si="4"/>
        <v>insert into policy values (110, 3, 15475, 5250129, '2025/4/8');</v>
      </c>
      <c r="G111" s="2" t="str">
        <f t="shared" si="5"/>
        <v>insert into policy values (110, 3, 15475, 5250129, '2025/4/8');</v>
      </c>
      <c r="H111" s="2"/>
      <c r="I111" s="2"/>
      <c r="J111" s="2"/>
      <c r="K111" s="2"/>
    </row>
    <row r="112" spans="1:11" x14ac:dyDescent="0.35">
      <c r="A112">
        <v>111</v>
      </c>
      <c r="B112">
        <v>4</v>
      </c>
      <c r="C112">
        <v>19945</v>
      </c>
      <c r="D112">
        <v>6642021</v>
      </c>
      <c r="E112" s="1">
        <v>45656</v>
      </c>
      <c r="F112" s="3" t="str">
        <f t="shared" si="4"/>
        <v>insert into policy values (111, 4, 19945, 6642021, '2024/12/30');</v>
      </c>
      <c r="G112" s="2" t="str">
        <f t="shared" si="5"/>
        <v>insert into policy values (111, 4, 19945, 6642021, '2024/12/30');</v>
      </c>
      <c r="H112" s="2"/>
      <c r="I112" s="2"/>
      <c r="J112" s="2"/>
      <c r="K112" s="2"/>
    </row>
    <row r="113" spans="1:11" x14ac:dyDescent="0.35">
      <c r="A113">
        <v>112</v>
      </c>
      <c r="B113">
        <v>3</v>
      </c>
      <c r="C113">
        <v>15572</v>
      </c>
      <c r="D113">
        <v>14437210</v>
      </c>
      <c r="E113" s="1">
        <v>44152</v>
      </c>
      <c r="F113" s="3" t="str">
        <f t="shared" si="4"/>
        <v>insert into policy values (112, 3, 15572, 14437210, '2020/11/17');</v>
      </c>
      <c r="G113" s="2" t="str">
        <f t="shared" si="5"/>
        <v>insert into policy values (112, 3, 15572, 14437210, '2020/11/17');</v>
      </c>
      <c r="H113" s="2"/>
      <c r="I113" s="2"/>
      <c r="J113" s="2"/>
      <c r="K113" s="2"/>
    </row>
    <row r="114" spans="1:11" x14ac:dyDescent="0.35">
      <c r="A114">
        <v>113</v>
      </c>
      <c r="B114">
        <v>16</v>
      </c>
      <c r="C114">
        <v>61066</v>
      </c>
      <c r="D114">
        <v>2997022</v>
      </c>
      <c r="E114" s="1">
        <v>44303</v>
      </c>
      <c r="F114" s="3" t="str">
        <f t="shared" si="4"/>
        <v>insert into policy values (113, 16, 61066, 2997022, '2021/4/17');</v>
      </c>
      <c r="G114" s="2" t="str">
        <f t="shared" si="5"/>
        <v>insert into policy values (113, 16, 61066, 2997022, '2021/4/17');</v>
      </c>
      <c r="H114" s="2"/>
      <c r="I114" s="2"/>
      <c r="J114" s="2"/>
      <c r="K114" s="2"/>
    </row>
    <row r="115" spans="1:11" x14ac:dyDescent="0.35">
      <c r="A115">
        <v>114</v>
      </c>
      <c r="B115">
        <v>24</v>
      </c>
      <c r="C115">
        <v>93306</v>
      </c>
      <c r="D115">
        <v>13679793</v>
      </c>
      <c r="E115" s="1">
        <v>45116</v>
      </c>
      <c r="F115" s="3" t="str">
        <f t="shared" si="4"/>
        <v>insert into policy values (114, 24, 93306, 13679793, '2023/7/9');</v>
      </c>
      <c r="G115" s="2" t="str">
        <f t="shared" si="5"/>
        <v>insert into policy values (114, 24, 93306, 13679793, '2023/7/9');</v>
      </c>
      <c r="H115" s="2"/>
      <c r="I115" s="2"/>
      <c r="J115" s="2"/>
      <c r="K115" s="2"/>
    </row>
    <row r="116" spans="1:11" x14ac:dyDescent="0.35">
      <c r="A116">
        <v>115</v>
      </c>
      <c r="B116">
        <v>13</v>
      </c>
      <c r="C116">
        <v>53202</v>
      </c>
      <c r="D116">
        <v>1207811</v>
      </c>
      <c r="E116" s="1">
        <v>44260</v>
      </c>
      <c r="F116" s="3" t="str">
        <f t="shared" si="4"/>
        <v>insert into policy values (115, 13, 53202, 1207811, '2021/3/5');</v>
      </c>
      <c r="G116" s="2" t="str">
        <f t="shared" si="5"/>
        <v>insert into policy values (115, 13, 53202, 1207811, '2021/3/5');</v>
      </c>
      <c r="H116" s="2"/>
      <c r="I116" s="2"/>
      <c r="J116" s="2"/>
      <c r="K116" s="2"/>
    </row>
    <row r="117" spans="1:11" x14ac:dyDescent="0.35">
      <c r="A117">
        <v>116</v>
      </c>
      <c r="B117">
        <v>4</v>
      </c>
      <c r="C117">
        <v>19945</v>
      </c>
      <c r="D117">
        <v>19989993</v>
      </c>
      <c r="E117" t="s">
        <v>79</v>
      </c>
      <c r="F117" s="3" t="str">
        <f t="shared" si="4"/>
        <v>insert into policy values (116, 4, 19945, 19989993, 'NULL');</v>
      </c>
      <c r="G117" s="2" t="str">
        <f t="shared" si="5"/>
        <v>insert into policy values (116, 4, 19945, 19989993, NULL);</v>
      </c>
      <c r="H117" s="2"/>
      <c r="I117" s="2"/>
      <c r="J117" s="2"/>
      <c r="K117" s="2"/>
    </row>
    <row r="118" spans="1:11" x14ac:dyDescent="0.35">
      <c r="A118">
        <v>117</v>
      </c>
      <c r="B118">
        <v>17</v>
      </c>
      <c r="C118">
        <v>62812</v>
      </c>
      <c r="D118">
        <v>8907730</v>
      </c>
      <c r="E118" s="1">
        <v>45004</v>
      </c>
      <c r="F118" s="3" t="str">
        <f t="shared" si="4"/>
        <v>insert into policy values (117, 17, 62812, 8907730, '2023/3/19');</v>
      </c>
      <c r="G118" s="2" t="str">
        <f t="shared" si="5"/>
        <v>insert into policy values (117, 17, 62812, 8907730, '2023/3/19');</v>
      </c>
      <c r="H118" s="2"/>
      <c r="I118" s="2"/>
      <c r="J118" s="2"/>
      <c r="K118" s="2"/>
    </row>
    <row r="119" spans="1:11" x14ac:dyDescent="0.35">
      <c r="A119">
        <v>118</v>
      </c>
      <c r="B119">
        <v>15</v>
      </c>
      <c r="C119">
        <v>57293</v>
      </c>
      <c r="D119">
        <v>14402399</v>
      </c>
      <c r="E119" s="1">
        <v>45697</v>
      </c>
      <c r="F119" s="3" t="str">
        <f t="shared" si="4"/>
        <v>insert into policy values (118, 15, 57293, 14402399, '2025/2/9');</v>
      </c>
      <c r="G119" s="2" t="str">
        <f t="shared" si="5"/>
        <v>insert into policy values (118, 15, 57293, 14402399, '2025/2/9');</v>
      </c>
      <c r="H119" s="2"/>
      <c r="I119" s="2"/>
      <c r="J119" s="2"/>
      <c r="K119" s="2"/>
    </row>
    <row r="120" spans="1:11" x14ac:dyDescent="0.35">
      <c r="A120">
        <v>119</v>
      </c>
      <c r="B120">
        <v>6</v>
      </c>
      <c r="C120">
        <v>23858</v>
      </c>
      <c r="D120">
        <v>1651553</v>
      </c>
      <c r="E120" s="1">
        <v>44273</v>
      </c>
      <c r="F120" s="3" t="str">
        <f t="shared" si="4"/>
        <v>insert into policy values (119, 6, 23858, 1651553, '2021/3/18');</v>
      </c>
      <c r="G120" s="2" t="str">
        <f t="shared" si="5"/>
        <v>insert into policy values (119, 6, 23858, 1651553, '2021/3/18');</v>
      </c>
      <c r="H120" s="2"/>
      <c r="I120" s="2"/>
      <c r="J120" s="2"/>
      <c r="K120" s="2"/>
    </row>
    <row r="121" spans="1:11" x14ac:dyDescent="0.35">
      <c r="A121">
        <v>120</v>
      </c>
      <c r="B121">
        <v>16</v>
      </c>
      <c r="C121">
        <v>61066</v>
      </c>
      <c r="D121">
        <v>10036929</v>
      </c>
      <c r="E121" s="1">
        <v>44027</v>
      </c>
      <c r="F121" s="3" t="str">
        <f t="shared" si="4"/>
        <v>insert into policy values (120, 16, 61066, 10036929, '2020/7/15');</v>
      </c>
      <c r="G121" s="2" t="str">
        <f t="shared" si="5"/>
        <v>insert into policy values (120, 16, 61066, 10036929, '2020/7/15');</v>
      </c>
      <c r="H121" s="2"/>
      <c r="I121" s="2"/>
      <c r="J121" s="2"/>
      <c r="K121" s="2"/>
    </row>
    <row r="122" spans="1:11" x14ac:dyDescent="0.35">
      <c r="A122">
        <v>121</v>
      </c>
      <c r="B122">
        <v>1</v>
      </c>
      <c r="C122">
        <v>11257</v>
      </c>
      <c r="D122">
        <v>952770</v>
      </c>
      <c r="E122" s="1">
        <v>45542</v>
      </c>
      <c r="F122" s="3" t="str">
        <f t="shared" si="4"/>
        <v>insert into policy values (121, 1, 11257, 952770, '2024/9/7');</v>
      </c>
      <c r="G122" s="2" t="str">
        <f t="shared" si="5"/>
        <v>insert into policy values (121, 1, 11257, 952770, '2024/9/7');</v>
      </c>
      <c r="H122" s="2"/>
      <c r="I122" s="2"/>
      <c r="J122" s="2"/>
      <c r="K122" s="2"/>
    </row>
    <row r="123" spans="1:11" x14ac:dyDescent="0.35">
      <c r="A123">
        <v>122</v>
      </c>
      <c r="B123">
        <v>10</v>
      </c>
      <c r="C123">
        <v>38578</v>
      </c>
      <c r="D123">
        <v>17329428</v>
      </c>
      <c r="E123" s="1">
        <v>45845</v>
      </c>
      <c r="F123" s="3" t="str">
        <f t="shared" si="4"/>
        <v>insert into policy values (122, 10, 38578, 17329428, '2025/7/7');</v>
      </c>
      <c r="G123" s="2" t="str">
        <f t="shared" si="5"/>
        <v>insert into policy values (122, 10, 38578, 17329428, '2025/7/7');</v>
      </c>
      <c r="H123" s="2"/>
      <c r="I123" s="2"/>
      <c r="J123" s="2"/>
      <c r="K123" s="2"/>
    </row>
    <row r="124" spans="1:11" x14ac:dyDescent="0.35">
      <c r="A124">
        <v>123</v>
      </c>
      <c r="B124">
        <v>22</v>
      </c>
      <c r="C124">
        <v>82114</v>
      </c>
      <c r="D124">
        <v>3915023</v>
      </c>
      <c r="E124" s="1">
        <v>44970</v>
      </c>
      <c r="F124" s="3" t="str">
        <f t="shared" si="4"/>
        <v>insert into policy values (123, 22, 82114, 3915023, '2023/2/13');</v>
      </c>
      <c r="G124" s="2" t="str">
        <f t="shared" si="5"/>
        <v>insert into policy values (123, 22, 82114, 3915023, '2023/2/13');</v>
      </c>
      <c r="H124" s="2"/>
      <c r="I124" s="2"/>
      <c r="J124" s="2"/>
      <c r="K124" s="2"/>
    </row>
    <row r="125" spans="1:11" x14ac:dyDescent="0.35">
      <c r="A125">
        <v>124</v>
      </c>
      <c r="B125">
        <v>2</v>
      </c>
      <c r="C125">
        <v>14719</v>
      </c>
      <c r="D125">
        <v>15197686</v>
      </c>
      <c r="E125" s="1">
        <v>44121</v>
      </c>
      <c r="F125" s="3" t="str">
        <f t="shared" si="4"/>
        <v>insert into policy values (124, 2, 14719, 15197686, '2020/10/17');</v>
      </c>
      <c r="G125" s="2" t="str">
        <f t="shared" si="5"/>
        <v>insert into policy values (124, 2, 14719, 15197686, '2020/10/17');</v>
      </c>
      <c r="H125" s="2"/>
      <c r="I125" s="2"/>
      <c r="J125" s="2"/>
      <c r="K125" s="2"/>
    </row>
    <row r="126" spans="1:11" x14ac:dyDescent="0.35">
      <c r="A126">
        <v>125</v>
      </c>
      <c r="B126">
        <v>8</v>
      </c>
      <c r="C126">
        <v>29092</v>
      </c>
      <c r="D126">
        <v>16166887</v>
      </c>
      <c r="E126" s="1">
        <v>44124</v>
      </c>
      <c r="F126" s="3" t="str">
        <f t="shared" si="4"/>
        <v>insert into policy values (125, 8, 29092, 16166887, '2020/10/20');</v>
      </c>
      <c r="G126" s="2" t="str">
        <f t="shared" si="5"/>
        <v>insert into policy values (125, 8, 29092, 16166887, '2020/10/20');</v>
      </c>
      <c r="H126" s="2"/>
      <c r="I126" s="2"/>
      <c r="J126" s="2"/>
      <c r="K126" s="2"/>
    </row>
    <row r="128" spans="1:11" x14ac:dyDescent="0.35">
      <c r="A128" t="s">
        <v>563</v>
      </c>
      <c r="B128" t="s">
        <v>563</v>
      </c>
      <c r="C128" t="s">
        <v>563</v>
      </c>
      <c r="D128" t="s">
        <v>561</v>
      </c>
      <c r="E128" t="s">
        <v>561</v>
      </c>
    </row>
    <row r="129" spans="1:5" x14ac:dyDescent="0.35">
      <c r="C129" cm="1">
        <f t="array" ref="C129">MAX(LEN(C2:C126))</f>
        <v>5</v>
      </c>
    </row>
    <row r="130" spans="1:5" x14ac:dyDescent="0.35">
      <c r="C130" t="s">
        <v>575</v>
      </c>
    </row>
    <row r="131" spans="1:5" x14ac:dyDescent="0.35">
      <c r="C131" cm="1">
        <f t="array" ref="C131">MIN(LEN(C2:C126))</f>
        <v>5</v>
      </c>
    </row>
    <row r="132" spans="1:5" x14ac:dyDescent="0.35">
      <c r="C132" t="s">
        <v>572</v>
      </c>
    </row>
    <row r="133" spans="1:5" x14ac:dyDescent="0.35">
      <c r="A133" t="s">
        <v>560</v>
      </c>
      <c r="C133" t="s">
        <v>567</v>
      </c>
      <c r="D133" t="s">
        <v>578</v>
      </c>
    </row>
    <row r="134" spans="1:5" x14ac:dyDescent="0.35">
      <c r="A134" t="s">
        <v>581</v>
      </c>
      <c r="B134" t="s">
        <v>581</v>
      </c>
      <c r="C134" t="s">
        <v>581</v>
      </c>
      <c r="D134" t="s">
        <v>581</v>
      </c>
      <c r="E134" t="s">
        <v>582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8CCA6-894F-4AF6-AF49-A2F7E9CE430F}">
  <dimension ref="A1:D60"/>
  <sheetViews>
    <sheetView workbookViewId="0">
      <selection activeCell="A51" sqref="A51"/>
    </sheetView>
  </sheetViews>
  <sheetFormatPr defaultRowHeight="14.5" x14ac:dyDescent="0.35"/>
  <cols>
    <col min="1" max="1" width="9.54296875" bestFit="1" customWidth="1"/>
    <col min="2" max="2" width="17.453125" bestFit="1" customWidth="1"/>
    <col min="3" max="3" width="12.453125" bestFit="1" customWidth="1"/>
    <col min="4" max="4" width="67.90625" bestFit="1" customWidth="1"/>
  </cols>
  <sheetData>
    <row r="1" spans="1:4" x14ac:dyDescent="0.35">
      <c r="A1" t="s">
        <v>195</v>
      </c>
      <c r="B1" t="s">
        <v>198</v>
      </c>
      <c r="C1" t="s">
        <v>4</v>
      </c>
    </row>
    <row r="2" spans="1:4" x14ac:dyDescent="0.35">
      <c r="A2">
        <v>11257</v>
      </c>
      <c r="B2" t="s">
        <v>199</v>
      </c>
      <c r="C2" t="s">
        <v>200</v>
      </c>
      <c r="D2" s="2" t="str">
        <f>"insert into primaryinsured values ("&amp;A2&amp;", '"&amp;B2&amp;"', '"&amp;C2&amp;"');"</f>
        <v>insert into primaryinsured values (11257, 'Jonathan Adams', '510-325-8868');</v>
      </c>
    </row>
    <row r="3" spans="1:4" x14ac:dyDescent="0.35">
      <c r="A3">
        <v>11519</v>
      </c>
      <c r="B3" t="s">
        <v>201</v>
      </c>
      <c r="C3" t="s">
        <v>202</v>
      </c>
      <c r="D3" s="2" t="str">
        <f t="shared" ref="D3:D51" si="0">"insert into primaryinsured values ("&amp;A3&amp;", '"&amp;B3&amp;"', '"&amp;C3&amp;"');"</f>
        <v>insert into primaryinsured values (11519, 'Joanne Lewis', '682-467-0216');</v>
      </c>
    </row>
    <row r="4" spans="1:4" x14ac:dyDescent="0.35">
      <c r="A4">
        <v>12893</v>
      </c>
      <c r="B4" t="s">
        <v>203</v>
      </c>
      <c r="C4" t="s">
        <v>204</v>
      </c>
      <c r="D4" s="2" t="str">
        <f t="shared" si="0"/>
        <v>insert into primaryinsured values (12893, 'Shelby Hawkins', '963-995-2110');</v>
      </c>
    </row>
    <row r="5" spans="1:4" x14ac:dyDescent="0.35">
      <c r="A5">
        <v>14719</v>
      </c>
      <c r="B5" t="s">
        <v>205</v>
      </c>
      <c r="C5" t="s">
        <v>206</v>
      </c>
      <c r="D5" s="2" t="str">
        <f t="shared" si="0"/>
        <v>insert into primaryinsured values (14719, 'Misti Glover', '251-832-7320');</v>
      </c>
    </row>
    <row r="6" spans="1:4" x14ac:dyDescent="0.35">
      <c r="A6">
        <v>15475</v>
      </c>
      <c r="B6" t="s">
        <v>207</v>
      </c>
      <c r="C6" t="s">
        <v>208</v>
      </c>
      <c r="D6" s="2" t="str">
        <f t="shared" si="0"/>
        <v>insert into primaryinsured values (15475, 'Dean Ewing', '239-917-0186');</v>
      </c>
    </row>
    <row r="7" spans="1:4" x14ac:dyDescent="0.35">
      <c r="A7">
        <v>15572</v>
      </c>
      <c r="B7" t="s">
        <v>209</v>
      </c>
      <c r="C7" t="s">
        <v>210</v>
      </c>
      <c r="D7" s="2" t="str">
        <f t="shared" si="0"/>
        <v>insert into primaryinsured values (15572, 'Vanessa Rogers', '665-720-2816');</v>
      </c>
    </row>
    <row r="8" spans="1:4" x14ac:dyDescent="0.35">
      <c r="A8">
        <v>18609</v>
      </c>
      <c r="B8" t="s">
        <v>211</v>
      </c>
      <c r="C8" t="s">
        <v>212</v>
      </c>
      <c r="D8" s="2" t="str">
        <f t="shared" si="0"/>
        <v>insert into primaryinsured values (18609, 'Rickey Powers', '719-152-1499');</v>
      </c>
    </row>
    <row r="9" spans="1:4" x14ac:dyDescent="0.35">
      <c r="A9">
        <v>19945</v>
      </c>
      <c r="B9" t="s">
        <v>213</v>
      </c>
      <c r="C9" t="s">
        <v>214</v>
      </c>
      <c r="D9" s="2" t="str">
        <f t="shared" si="0"/>
        <v>insert into primaryinsured values (19945, 'Whitney Mathews', '738-090-7985');</v>
      </c>
    </row>
    <row r="10" spans="1:4" x14ac:dyDescent="0.35">
      <c r="A10">
        <v>20579</v>
      </c>
      <c r="B10" t="s">
        <v>215</v>
      </c>
      <c r="C10" t="s">
        <v>216</v>
      </c>
      <c r="D10" s="2" t="str">
        <f t="shared" si="0"/>
        <v>insert into primaryinsured values (20579, 'Alberto Trevino', '280-093-1753');</v>
      </c>
    </row>
    <row r="11" spans="1:4" x14ac:dyDescent="0.35">
      <c r="A11">
        <v>21499</v>
      </c>
      <c r="B11" t="s">
        <v>217</v>
      </c>
      <c r="C11" t="s">
        <v>218</v>
      </c>
      <c r="D11" s="2" t="str">
        <f t="shared" si="0"/>
        <v>insert into primaryinsured values (21499, 'Cornelius Lutz', '191-415-1449');</v>
      </c>
    </row>
    <row r="12" spans="1:4" x14ac:dyDescent="0.35">
      <c r="A12">
        <v>23054</v>
      </c>
      <c r="B12" t="s">
        <v>219</v>
      </c>
      <c r="C12" t="s">
        <v>220</v>
      </c>
      <c r="D12" s="2" t="str">
        <f t="shared" si="0"/>
        <v>insert into primaryinsured values (23054, 'Lee Phelps', '434-270-0233');</v>
      </c>
    </row>
    <row r="13" spans="1:4" x14ac:dyDescent="0.35">
      <c r="A13">
        <v>23858</v>
      </c>
      <c r="B13" t="s">
        <v>221</v>
      </c>
      <c r="C13" t="s">
        <v>222</v>
      </c>
      <c r="D13" s="2" t="str">
        <f t="shared" si="0"/>
        <v>insert into primaryinsured values (23858, 'Lance Lawrence', '358-511-5809');</v>
      </c>
    </row>
    <row r="14" spans="1:4" x14ac:dyDescent="0.35">
      <c r="A14">
        <v>23937</v>
      </c>
      <c r="B14" t="s">
        <v>223</v>
      </c>
      <c r="C14" t="s">
        <v>224</v>
      </c>
      <c r="D14" s="2" t="str">
        <f t="shared" si="0"/>
        <v>insert into primaryinsured values (23937, 'Joanne Wang', '100-806-2051');</v>
      </c>
    </row>
    <row r="15" spans="1:4" x14ac:dyDescent="0.35">
      <c r="A15">
        <v>25547</v>
      </c>
      <c r="B15" t="s">
        <v>225</v>
      </c>
      <c r="C15" t="s">
        <v>226</v>
      </c>
      <c r="D15" s="2" t="str">
        <f t="shared" si="0"/>
        <v>insert into primaryinsured values (25547, 'Terri Kemp', '867-410-2885');</v>
      </c>
    </row>
    <row r="16" spans="1:4" x14ac:dyDescent="0.35">
      <c r="A16">
        <v>29092</v>
      </c>
      <c r="B16" t="s">
        <v>227</v>
      </c>
      <c r="C16" t="s">
        <v>228</v>
      </c>
      <c r="D16" s="2" t="str">
        <f t="shared" si="0"/>
        <v>insert into primaryinsured values (29092, 'Alana Hardin', '107-082-7416');</v>
      </c>
    </row>
    <row r="17" spans="1:4" x14ac:dyDescent="0.35">
      <c r="A17">
        <v>29184</v>
      </c>
      <c r="B17" t="s">
        <v>229</v>
      </c>
      <c r="C17" t="s">
        <v>230</v>
      </c>
      <c r="D17" s="2" t="str">
        <f t="shared" si="0"/>
        <v>insert into primaryinsured values (29184, 'Trenton Eaton', '518-680-0136');</v>
      </c>
    </row>
    <row r="18" spans="1:4" x14ac:dyDescent="0.35">
      <c r="A18">
        <v>33586</v>
      </c>
      <c r="B18" t="s">
        <v>231</v>
      </c>
      <c r="C18" t="s">
        <v>232</v>
      </c>
      <c r="D18" s="2" t="str">
        <f t="shared" si="0"/>
        <v>insert into primaryinsured values (33586, 'Darryl Dalton', '386-264-8857');</v>
      </c>
    </row>
    <row r="19" spans="1:4" x14ac:dyDescent="0.35">
      <c r="A19">
        <v>35466</v>
      </c>
      <c r="B19" t="s">
        <v>233</v>
      </c>
      <c r="C19" t="s">
        <v>234</v>
      </c>
      <c r="D19" s="2" t="str">
        <f t="shared" si="0"/>
        <v>insert into primaryinsured values (35466, 'Erick Yates', '782-475-3439');</v>
      </c>
    </row>
    <row r="20" spans="1:4" x14ac:dyDescent="0.35">
      <c r="A20">
        <v>38578</v>
      </c>
      <c r="B20" t="s">
        <v>235</v>
      </c>
      <c r="C20" t="s">
        <v>236</v>
      </c>
      <c r="D20" s="2" t="str">
        <f t="shared" si="0"/>
        <v>insert into primaryinsured values (38578, 'Everett Greer', '514-672-4046');</v>
      </c>
    </row>
    <row r="21" spans="1:4" x14ac:dyDescent="0.35">
      <c r="A21">
        <v>40025</v>
      </c>
      <c r="B21" t="s">
        <v>237</v>
      </c>
      <c r="C21" t="s">
        <v>238</v>
      </c>
      <c r="D21" s="2" t="str">
        <f t="shared" si="0"/>
        <v>insert into primaryinsured values (40025, 'Rodolfo Patel', '264-472-4324');</v>
      </c>
    </row>
    <row r="22" spans="1:4" x14ac:dyDescent="0.35">
      <c r="A22">
        <v>46559</v>
      </c>
      <c r="B22" t="s">
        <v>239</v>
      </c>
      <c r="C22" t="s">
        <v>240</v>
      </c>
      <c r="D22" s="2" t="str">
        <f t="shared" si="0"/>
        <v>insert into primaryinsured values (46559, 'Bobbi Mathis', '728-394-5427');</v>
      </c>
    </row>
    <row r="23" spans="1:4" x14ac:dyDescent="0.35">
      <c r="A23">
        <v>47559</v>
      </c>
      <c r="B23" t="s">
        <v>241</v>
      </c>
      <c r="C23" t="s">
        <v>242</v>
      </c>
      <c r="D23" s="2" t="str">
        <f t="shared" si="0"/>
        <v>insert into primaryinsured values (47559, 'Andrew Norman', '417-469-4442');</v>
      </c>
    </row>
    <row r="24" spans="1:4" x14ac:dyDescent="0.35">
      <c r="A24">
        <v>47962</v>
      </c>
      <c r="B24" t="s">
        <v>243</v>
      </c>
      <c r="C24" t="s">
        <v>244</v>
      </c>
      <c r="D24" s="2" t="str">
        <f t="shared" si="0"/>
        <v>insert into primaryinsured values (47962, 'Kristin Dickerson', '210-027-4100');</v>
      </c>
    </row>
    <row r="25" spans="1:4" x14ac:dyDescent="0.35">
      <c r="A25">
        <v>52166</v>
      </c>
      <c r="B25" t="s">
        <v>245</v>
      </c>
      <c r="C25" t="s">
        <v>246</v>
      </c>
      <c r="D25" s="2" t="str">
        <f t="shared" si="0"/>
        <v>insert into primaryinsured values (52166, 'Morgan Hanson', '504-328-9362');</v>
      </c>
    </row>
    <row r="26" spans="1:4" x14ac:dyDescent="0.35">
      <c r="A26">
        <v>53202</v>
      </c>
      <c r="B26" t="s">
        <v>247</v>
      </c>
      <c r="C26" t="s">
        <v>248</v>
      </c>
      <c r="D26" s="2" t="str">
        <f t="shared" si="0"/>
        <v>insert into primaryinsured values (53202, 'Trevor Noble', '641-811-6777');</v>
      </c>
    </row>
    <row r="27" spans="1:4" x14ac:dyDescent="0.35">
      <c r="A27">
        <v>55975</v>
      </c>
      <c r="B27" t="s">
        <v>249</v>
      </c>
      <c r="C27" t="s">
        <v>250</v>
      </c>
      <c r="D27" s="2" t="str">
        <f t="shared" si="0"/>
        <v>insert into primaryinsured values (55975, 'Josh Marks', '655-490-9334');</v>
      </c>
    </row>
    <row r="28" spans="1:4" x14ac:dyDescent="0.35">
      <c r="A28">
        <v>56563</v>
      </c>
      <c r="B28" t="s">
        <v>251</v>
      </c>
      <c r="C28" t="s">
        <v>252</v>
      </c>
      <c r="D28" s="2" t="str">
        <f t="shared" si="0"/>
        <v>insert into primaryinsured values (56563, 'Laura James', '478-557-6803');</v>
      </c>
    </row>
    <row r="29" spans="1:4" x14ac:dyDescent="0.35">
      <c r="A29">
        <v>57055</v>
      </c>
      <c r="B29" t="s">
        <v>253</v>
      </c>
      <c r="C29" t="s">
        <v>254</v>
      </c>
      <c r="D29" s="2" t="str">
        <f t="shared" si="0"/>
        <v>insert into primaryinsured values (57055, 'Neal Costa', '598-759-9065');</v>
      </c>
    </row>
    <row r="30" spans="1:4" x14ac:dyDescent="0.35">
      <c r="A30">
        <v>57293</v>
      </c>
      <c r="B30" t="s">
        <v>255</v>
      </c>
      <c r="C30" t="s">
        <v>256</v>
      </c>
      <c r="D30" s="2" t="str">
        <f t="shared" si="0"/>
        <v>insert into primaryinsured values (57293, 'Lorenzo Maddox', '133-658-6456');</v>
      </c>
    </row>
    <row r="31" spans="1:4" x14ac:dyDescent="0.35">
      <c r="A31">
        <v>59188</v>
      </c>
      <c r="B31" t="s">
        <v>257</v>
      </c>
      <c r="C31" t="s">
        <v>258</v>
      </c>
      <c r="D31" s="2" t="str">
        <f t="shared" si="0"/>
        <v>insert into primaryinsured values (59188, 'Maggie Schmitt', '770-239-4501');</v>
      </c>
    </row>
    <row r="32" spans="1:4" x14ac:dyDescent="0.35">
      <c r="A32">
        <v>61066</v>
      </c>
      <c r="B32" t="s">
        <v>259</v>
      </c>
      <c r="C32" t="s">
        <v>260</v>
      </c>
      <c r="D32" s="2" t="str">
        <f t="shared" si="0"/>
        <v>insert into primaryinsured values (61066, 'Kerry Mccoy', '495-243-3881');</v>
      </c>
    </row>
    <row r="33" spans="1:4" x14ac:dyDescent="0.35">
      <c r="A33">
        <v>61791</v>
      </c>
      <c r="B33" t="s">
        <v>261</v>
      </c>
      <c r="C33" t="s">
        <v>262</v>
      </c>
      <c r="D33" s="2" t="str">
        <f t="shared" si="0"/>
        <v>insert into primaryinsured values (61791, 'Kristina Briggs', '862-226-8074');</v>
      </c>
    </row>
    <row r="34" spans="1:4" x14ac:dyDescent="0.35">
      <c r="A34">
        <v>62090</v>
      </c>
      <c r="B34" t="s">
        <v>263</v>
      </c>
      <c r="C34" t="s">
        <v>264</v>
      </c>
      <c r="D34" s="2" t="str">
        <f t="shared" si="0"/>
        <v>insert into primaryinsured values (62090, 'Jermaine Simon', '218-188-1095');</v>
      </c>
    </row>
    <row r="35" spans="1:4" x14ac:dyDescent="0.35">
      <c r="A35">
        <v>62812</v>
      </c>
      <c r="B35" t="s">
        <v>265</v>
      </c>
      <c r="C35" t="s">
        <v>266</v>
      </c>
      <c r="D35" s="2" t="str">
        <f t="shared" si="0"/>
        <v>insert into primaryinsured values (62812, 'Shad Hunter', '117-755-0903');</v>
      </c>
    </row>
    <row r="36" spans="1:4" x14ac:dyDescent="0.35">
      <c r="A36">
        <v>64006</v>
      </c>
      <c r="B36" t="s">
        <v>267</v>
      </c>
      <c r="C36" t="s">
        <v>268</v>
      </c>
      <c r="D36" s="2" t="str">
        <f t="shared" si="0"/>
        <v>insert into primaryinsured values (64006, 'Kimberly Cisneros', '673-812-2335');</v>
      </c>
    </row>
    <row r="37" spans="1:4" x14ac:dyDescent="0.35">
      <c r="A37">
        <v>66111</v>
      </c>
      <c r="B37" t="s">
        <v>269</v>
      </c>
      <c r="C37" t="s">
        <v>270</v>
      </c>
      <c r="D37" s="2" t="str">
        <f t="shared" si="0"/>
        <v>insert into primaryinsured values (66111, 'Kendra Ferrell', '529-571-5321');</v>
      </c>
    </row>
    <row r="38" spans="1:4" x14ac:dyDescent="0.35">
      <c r="A38">
        <v>68779</v>
      </c>
      <c r="B38" t="s">
        <v>271</v>
      </c>
      <c r="C38" t="s">
        <v>272</v>
      </c>
      <c r="D38" s="2" t="str">
        <f t="shared" si="0"/>
        <v>insert into primaryinsured values (68779, 'Lance Pollard', '209-421-2543');</v>
      </c>
    </row>
    <row r="39" spans="1:4" x14ac:dyDescent="0.35">
      <c r="A39">
        <v>69829</v>
      </c>
      <c r="B39" t="s">
        <v>273</v>
      </c>
      <c r="C39" t="s">
        <v>274</v>
      </c>
      <c r="D39" s="2" t="str">
        <f t="shared" si="0"/>
        <v>insert into primaryinsured values (69829, 'Jonathan Dawson', '921-020-3136');</v>
      </c>
    </row>
    <row r="40" spans="1:4" x14ac:dyDescent="0.35">
      <c r="A40">
        <v>72224</v>
      </c>
      <c r="B40" t="s">
        <v>275</v>
      </c>
      <c r="C40" t="s">
        <v>276</v>
      </c>
      <c r="D40" s="2" t="str">
        <f t="shared" si="0"/>
        <v>insert into primaryinsured values (72224, 'Evan Dougherty', '937-895-4140');</v>
      </c>
    </row>
    <row r="41" spans="1:4" x14ac:dyDescent="0.35">
      <c r="A41">
        <v>75603</v>
      </c>
      <c r="B41" t="s">
        <v>277</v>
      </c>
      <c r="C41" t="s">
        <v>278</v>
      </c>
      <c r="D41" s="2" t="str">
        <f t="shared" si="0"/>
        <v>insert into primaryinsured values (75603, 'Emily Case', '397-438-9651');</v>
      </c>
    </row>
    <row r="42" spans="1:4" x14ac:dyDescent="0.35">
      <c r="A42">
        <v>81393</v>
      </c>
      <c r="B42" t="s">
        <v>279</v>
      </c>
      <c r="C42" t="s">
        <v>280</v>
      </c>
      <c r="D42" s="2" t="str">
        <f t="shared" si="0"/>
        <v>insert into primaryinsured values (81393, 'Brooke Summers', '329-720-0953');</v>
      </c>
    </row>
    <row r="43" spans="1:4" x14ac:dyDescent="0.35">
      <c r="A43">
        <v>81492</v>
      </c>
      <c r="B43" t="s">
        <v>281</v>
      </c>
      <c r="C43" t="s">
        <v>282</v>
      </c>
      <c r="D43" s="2" t="str">
        <f t="shared" si="0"/>
        <v>insert into primaryinsured values (81492, 'Mason Duffy', '459-865-2037');</v>
      </c>
    </row>
    <row r="44" spans="1:4" x14ac:dyDescent="0.35">
      <c r="A44">
        <v>82114</v>
      </c>
      <c r="B44" t="s">
        <v>283</v>
      </c>
      <c r="C44" t="s">
        <v>284</v>
      </c>
      <c r="D44" s="2" t="str">
        <f t="shared" si="0"/>
        <v>insert into primaryinsured values (82114, 'Ricardo Rowland', '490-571-2986');</v>
      </c>
    </row>
    <row r="45" spans="1:4" x14ac:dyDescent="0.35">
      <c r="A45">
        <v>84955</v>
      </c>
      <c r="B45" t="s">
        <v>285</v>
      </c>
      <c r="C45" t="s">
        <v>286</v>
      </c>
      <c r="D45" s="2" t="str">
        <f t="shared" si="0"/>
        <v>insert into primaryinsured values (84955, 'Loren Holder', '541-463-4438');</v>
      </c>
    </row>
    <row r="46" spans="1:4" x14ac:dyDescent="0.35">
      <c r="A46">
        <v>85508</v>
      </c>
      <c r="B46" t="s">
        <v>287</v>
      </c>
      <c r="C46" t="s">
        <v>288</v>
      </c>
      <c r="D46" s="2" t="str">
        <f t="shared" si="0"/>
        <v>insert into primaryinsured values (85508, 'Demond Cobb', '475-494-1630');</v>
      </c>
    </row>
    <row r="47" spans="1:4" x14ac:dyDescent="0.35">
      <c r="A47">
        <v>87051</v>
      </c>
      <c r="B47" t="s">
        <v>289</v>
      </c>
      <c r="C47" t="s">
        <v>290</v>
      </c>
      <c r="D47" s="2" t="str">
        <f t="shared" si="0"/>
        <v>insert into primaryinsured values (87051, 'Tameka Knox', '750-431-5618');</v>
      </c>
    </row>
    <row r="48" spans="1:4" x14ac:dyDescent="0.35">
      <c r="A48">
        <v>93096</v>
      </c>
      <c r="B48" t="s">
        <v>291</v>
      </c>
      <c r="C48" t="s">
        <v>292</v>
      </c>
      <c r="D48" s="2" t="str">
        <f t="shared" si="0"/>
        <v>insert into primaryinsured values (93096, 'Angelina Mckee', '843-629-3418');</v>
      </c>
    </row>
    <row r="49" spans="1:4" x14ac:dyDescent="0.35">
      <c r="A49">
        <v>93306</v>
      </c>
      <c r="B49" t="s">
        <v>293</v>
      </c>
      <c r="C49" t="s">
        <v>294</v>
      </c>
      <c r="D49" s="2" t="str">
        <f t="shared" si="0"/>
        <v>insert into primaryinsured values (93306, 'Kelly Paul', '337-708-5048');</v>
      </c>
    </row>
    <row r="50" spans="1:4" x14ac:dyDescent="0.35">
      <c r="A50">
        <v>93885</v>
      </c>
      <c r="B50" t="s">
        <v>295</v>
      </c>
      <c r="C50" t="s">
        <v>296</v>
      </c>
      <c r="D50" s="2" t="str">
        <f t="shared" si="0"/>
        <v>insert into primaryinsured values (93885, 'Darin Buckley', '706-792-9517');</v>
      </c>
    </row>
    <row r="51" spans="1:4" x14ac:dyDescent="0.35">
      <c r="A51">
        <v>97180</v>
      </c>
      <c r="B51" t="s">
        <v>297</v>
      </c>
      <c r="C51" t="s">
        <v>298</v>
      </c>
      <c r="D51" s="2" t="str">
        <f t="shared" si="0"/>
        <v>insert into primaryinsured values (97180, 'Pamela Cervantes', '636-099-6741');</v>
      </c>
    </row>
    <row r="52" spans="1:4" x14ac:dyDescent="0.35">
      <c r="A52" t="s">
        <v>563</v>
      </c>
      <c r="B52" t="s">
        <v>563</v>
      </c>
      <c r="C52" t="s">
        <v>563</v>
      </c>
    </row>
    <row r="54" spans="1:4" x14ac:dyDescent="0.35">
      <c r="A54" cm="1">
        <f t="array" ref="A54">MAX(LEN(A2:A51))</f>
        <v>5</v>
      </c>
      <c r="B54" cm="1">
        <f t="array" ref="B54">MAX(LEN(B2:B51))</f>
        <v>17</v>
      </c>
      <c r="C54" cm="1">
        <f t="array" ref="C54">MAX(LEN(C2:C51))</f>
        <v>12</v>
      </c>
    </row>
    <row r="55" spans="1:4" x14ac:dyDescent="0.35">
      <c r="A55">
        <v>5</v>
      </c>
      <c r="B55">
        <v>20</v>
      </c>
      <c r="C55" t="s">
        <v>574</v>
      </c>
    </row>
    <row r="56" spans="1:4" x14ac:dyDescent="0.35">
      <c r="A56" cm="1">
        <f t="array" ref="A56">MIN(LEN(A2:A51))</f>
        <v>5</v>
      </c>
      <c r="B56" cm="1">
        <f t="array" ref="B56">MIN(LEN(B2:B51))</f>
        <v>10</v>
      </c>
      <c r="C56" cm="1">
        <f t="array" ref="C56">MIN(LEN(C2:C51))</f>
        <v>12</v>
      </c>
    </row>
    <row r="57" spans="1:4" x14ac:dyDescent="0.35">
      <c r="A57">
        <v>5</v>
      </c>
      <c r="B57">
        <v>10</v>
      </c>
      <c r="C57" t="s">
        <v>576</v>
      </c>
    </row>
    <row r="58" spans="1:4" x14ac:dyDescent="0.35">
      <c r="A58" t="s">
        <v>581</v>
      </c>
      <c r="B58" t="s">
        <v>577</v>
      </c>
      <c r="C58" t="s">
        <v>568</v>
      </c>
    </row>
    <row r="60" spans="1:4" x14ac:dyDescent="0.35">
      <c r="A60" t="s">
        <v>560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33E01-6C3E-44E5-AFC5-D172FCC85B65}">
  <dimension ref="A1:E56"/>
  <sheetViews>
    <sheetView topLeftCell="A27" workbookViewId="0">
      <selection activeCell="E30" sqref="E30"/>
    </sheetView>
  </sheetViews>
  <sheetFormatPr defaultRowHeight="14.5" x14ac:dyDescent="0.35"/>
  <cols>
    <col min="1" max="1" width="10.1796875" bestFit="1" customWidth="1"/>
    <col min="2" max="2" width="9.453125" bestFit="1" customWidth="1"/>
    <col min="3" max="3" width="22.453125" bestFit="1" customWidth="1"/>
    <col min="4" max="4" width="13.81640625" bestFit="1" customWidth="1"/>
    <col min="5" max="5" width="45.26953125" bestFit="1" customWidth="1"/>
  </cols>
  <sheetData>
    <row r="1" spans="1:5" x14ac:dyDescent="0.35">
      <c r="A1" t="s">
        <v>299</v>
      </c>
      <c r="B1" t="s">
        <v>300</v>
      </c>
      <c r="C1" t="s">
        <v>301</v>
      </c>
      <c r="D1" t="s">
        <v>302</v>
      </c>
    </row>
    <row r="2" spans="1:5" x14ac:dyDescent="0.35">
      <c r="A2" t="s">
        <v>303</v>
      </c>
      <c r="B2">
        <v>175</v>
      </c>
      <c r="C2" t="s">
        <v>304</v>
      </c>
      <c r="D2">
        <v>0.99</v>
      </c>
      <c r="E2" s="2" t="str">
        <f>"insert into section values ('"&amp;A2&amp;"', "&amp;B2&amp;", '"&amp;C2&amp;"', "&amp;D2&amp;");"</f>
        <v>insert into section values ('AK', 175, 'silty', 0.99);</v>
      </c>
    </row>
    <row r="3" spans="1:5" x14ac:dyDescent="0.35">
      <c r="A3" t="s">
        <v>305</v>
      </c>
      <c r="B3">
        <v>2777</v>
      </c>
      <c r="C3" t="s">
        <v>304</v>
      </c>
      <c r="D3">
        <v>0.83</v>
      </c>
      <c r="E3" s="2" t="str">
        <f t="shared" ref="E3:E51" si="0">"insert into section values ('"&amp;A3&amp;"', "&amp;B3&amp;", '"&amp;C3&amp;"', "&amp;D3&amp;");"</f>
        <v>insert into section values ('AL', 2777, 'silty', 0.83);</v>
      </c>
    </row>
    <row r="4" spans="1:5" x14ac:dyDescent="0.35">
      <c r="A4" t="s">
        <v>306</v>
      </c>
      <c r="B4">
        <v>2078</v>
      </c>
      <c r="C4" t="s">
        <v>304</v>
      </c>
      <c r="D4">
        <v>0.82</v>
      </c>
      <c r="E4" s="2" t="str">
        <f t="shared" si="0"/>
        <v>insert into section values ('AR', 2078, 'silty', 0.82);</v>
      </c>
    </row>
    <row r="5" spans="1:5" x14ac:dyDescent="0.35">
      <c r="A5" t="s">
        <v>307</v>
      </c>
      <c r="B5">
        <v>2520</v>
      </c>
      <c r="C5" t="s">
        <v>308</v>
      </c>
      <c r="D5">
        <v>0.11</v>
      </c>
      <c r="E5" s="2" t="str">
        <f t="shared" si="0"/>
        <v>insert into section values ('AZ', 2520, 'loamy', 0.11);</v>
      </c>
    </row>
    <row r="6" spans="1:5" x14ac:dyDescent="0.35">
      <c r="A6" t="s">
        <v>309</v>
      </c>
      <c r="B6">
        <v>2488</v>
      </c>
      <c r="C6" t="s">
        <v>308</v>
      </c>
      <c r="D6">
        <v>0.19</v>
      </c>
      <c r="E6" s="2" t="str">
        <f t="shared" si="0"/>
        <v>insert into section values ('CA', 2488, 'loamy', 0.19);</v>
      </c>
    </row>
    <row r="7" spans="1:5" x14ac:dyDescent="0.35">
      <c r="A7" t="s">
        <v>310</v>
      </c>
      <c r="B7">
        <v>3137</v>
      </c>
      <c r="C7" t="s">
        <v>311</v>
      </c>
      <c r="D7">
        <v>0.08</v>
      </c>
      <c r="E7" s="2" t="str">
        <f t="shared" si="0"/>
        <v>insert into section values ('CO', 3137, 'sandy', 0.08);</v>
      </c>
    </row>
    <row r="8" spans="1:5" x14ac:dyDescent="0.35">
      <c r="A8" t="s">
        <v>312</v>
      </c>
      <c r="B8">
        <v>3308</v>
      </c>
      <c r="C8" t="s">
        <v>313</v>
      </c>
      <c r="D8">
        <v>0.47</v>
      </c>
      <c r="E8" s="2" t="str">
        <f t="shared" si="0"/>
        <v>insert into section values ('CT', 3308, 'peaty', 0.47);</v>
      </c>
    </row>
    <row r="9" spans="1:5" x14ac:dyDescent="0.35">
      <c r="A9" t="s">
        <v>314</v>
      </c>
      <c r="B9">
        <v>4334</v>
      </c>
      <c r="C9" t="s">
        <v>313</v>
      </c>
      <c r="D9">
        <v>0.01</v>
      </c>
      <c r="E9" s="2" t="str">
        <f t="shared" si="0"/>
        <v>insert into section values ('DE', 4334, 'peaty', 0.01);</v>
      </c>
    </row>
    <row r="10" spans="1:5" x14ac:dyDescent="0.35">
      <c r="A10" t="s">
        <v>315</v>
      </c>
      <c r="B10">
        <v>795</v>
      </c>
      <c r="C10" t="s">
        <v>311</v>
      </c>
      <c r="D10">
        <v>0.01</v>
      </c>
      <c r="E10" s="2" t="str">
        <f t="shared" si="0"/>
        <v>insert into section values ('FL', 795, 'sandy', 0.01);</v>
      </c>
    </row>
    <row r="11" spans="1:5" x14ac:dyDescent="0.35">
      <c r="A11" t="s">
        <v>316</v>
      </c>
      <c r="B11">
        <v>2244</v>
      </c>
      <c r="C11" t="s">
        <v>317</v>
      </c>
      <c r="D11">
        <v>0.93</v>
      </c>
      <c r="E11" s="2" t="str">
        <f t="shared" si="0"/>
        <v>insert into section values ('GA', 2244, 'clay', 0.93);</v>
      </c>
    </row>
    <row r="12" spans="1:5" x14ac:dyDescent="0.35">
      <c r="A12" t="s">
        <v>318</v>
      </c>
      <c r="B12">
        <v>38</v>
      </c>
      <c r="C12" t="s">
        <v>304</v>
      </c>
      <c r="D12">
        <v>0.5</v>
      </c>
      <c r="E12" s="2" t="str">
        <f t="shared" si="0"/>
        <v>insert into section values ('HI', 38, 'silty', 0.5);</v>
      </c>
    </row>
    <row r="13" spans="1:5" x14ac:dyDescent="0.35">
      <c r="A13" t="s">
        <v>319</v>
      </c>
      <c r="B13">
        <v>186</v>
      </c>
      <c r="C13" t="s">
        <v>317</v>
      </c>
      <c r="D13">
        <v>0.21</v>
      </c>
      <c r="E13" s="2" t="str">
        <f t="shared" si="0"/>
        <v>insert into section values ('IA', 186, 'clay', 0.21);</v>
      </c>
    </row>
    <row r="14" spans="1:5" x14ac:dyDescent="0.35">
      <c r="A14" t="s">
        <v>320</v>
      </c>
      <c r="B14">
        <v>190</v>
      </c>
      <c r="C14" t="s">
        <v>321</v>
      </c>
      <c r="D14">
        <v>0.04</v>
      </c>
      <c r="E14" s="2" t="str">
        <f t="shared" si="0"/>
        <v>insert into section values ('ID', 190, 'chalky', 0.04);</v>
      </c>
    </row>
    <row r="15" spans="1:5" x14ac:dyDescent="0.35">
      <c r="A15" t="s">
        <v>322</v>
      </c>
      <c r="B15">
        <v>1563</v>
      </c>
      <c r="C15" t="s">
        <v>321</v>
      </c>
      <c r="D15">
        <v>0.98</v>
      </c>
      <c r="E15" s="2" t="str">
        <f t="shared" si="0"/>
        <v>insert into section values ('IL', 1563, 'chalky', 0.98);</v>
      </c>
    </row>
    <row r="16" spans="1:5" x14ac:dyDescent="0.35">
      <c r="A16" t="s">
        <v>323</v>
      </c>
      <c r="B16">
        <v>861</v>
      </c>
      <c r="C16" t="s">
        <v>308</v>
      </c>
      <c r="D16">
        <v>0.46</v>
      </c>
      <c r="E16" s="2" t="str">
        <f t="shared" si="0"/>
        <v>insert into section values ('IN', 861, 'loamy', 0.46);</v>
      </c>
    </row>
    <row r="17" spans="1:5" x14ac:dyDescent="0.35">
      <c r="A17" t="s">
        <v>324</v>
      </c>
      <c r="B17">
        <v>4487</v>
      </c>
      <c r="C17" t="s">
        <v>308</v>
      </c>
      <c r="D17">
        <v>0.33</v>
      </c>
      <c r="E17" s="2" t="str">
        <f t="shared" si="0"/>
        <v>insert into section values ('KS', 4487, 'loamy', 0.33);</v>
      </c>
    </row>
    <row r="18" spans="1:5" x14ac:dyDescent="0.35">
      <c r="A18" t="s">
        <v>325</v>
      </c>
      <c r="B18">
        <v>4222</v>
      </c>
      <c r="C18" t="s">
        <v>304</v>
      </c>
      <c r="D18">
        <v>0.24</v>
      </c>
      <c r="E18" s="2" t="str">
        <f t="shared" si="0"/>
        <v>insert into section values ('KY', 4222, 'silty', 0.24);</v>
      </c>
    </row>
    <row r="19" spans="1:5" x14ac:dyDescent="0.35">
      <c r="A19" t="s">
        <v>326</v>
      </c>
      <c r="B19">
        <v>4300</v>
      </c>
      <c r="C19" t="s">
        <v>317</v>
      </c>
      <c r="D19">
        <v>0.11</v>
      </c>
      <c r="E19" s="2" t="str">
        <f t="shared" si="0"/>
        <v>insert into section values ('LA', 4300, 'clay', 0.11);</v>
      </c>
    </row>
    <row r="20" spans="1:5" x14ac:dyDescent="0.35">
      <c r="A20" t="s">
        <v>327</v>
      </c>
      <c r="B20">
        <v>2637</v>
      </c>
      <c r="C20" t="s">
        <v>321</v>
      </c>
      <c r="D20">
        <v>0.6</v>
      </c>
      <c r="E20" s="2" t="str">
        <f t="shared" si="0"/>
        <v>insert into section values ('MA', 2637, 'chalky', 0.6);</v>
      </c>
    </row>
    <row r="21" spans="1:5" x14ac:dyDescent="0.35">
      <c r="A21" t="s">
        <v>328</v>
      </c>
      <c r="B21">
        <v>3306</v>
      </c>
      <c r="C21" t="s">
        <v>313</v>
      </c>
      <c r="D21">
        <v>0.28000000000000003</v>
      </c>
      <c r="E21" s="2" t="str">
        <f t="shared" si="0"/>
        <v>insert into section values ('MD', 3306, 'peaty', 0.28);</v>
      </c>
    </row>
    <row r="22" spans="1:5" x14ac:dyDescent="0.35">
      <c r="A22" t="s">
        <v>329</v>
      </c>
      <c r="B22">
        <v>746</v>
      </c>
      <c r="C22" t="s">
        <v>304</v>
      </c>
      <c r="D22">
        <v>0.21</v>
      </c>
      <c r="E22" s="2" t="str">
        <f t="shared" si="0"/>
        <v>insert into section values ('ME', 746, 'silty', 0.21);</v>
      </c>
    </row>
    <row r="23" spans="1:5" x14ac:dyDescent="0.35">
      <c r="A23" t="s">
        <v>330</v>
      </c>
      <c r="B23">
        <v>3586</v>
      </c>
      <c r="C23" t="s">
        <v>313</v>
      </c>
      <c r="D23">
        <v>0.6</v>
      </c>
      <c r="E23" s="2" t="str">
        <f t="shared" si="0"/>
        <v>insert into section values ('MI', 3586, 'peaty', 0.6);</v>
      </c>
    </row>
    <row r="24" spans="1:5" x14ac:dyDescent="0.35">
      <c r="A24" t="s">
        <v>331</v>
      </c>
      <c r="B24">
        <v>4927</v>
      </c>
      <c r="C24" t="s">
        <v>311</v>
      </c>
      <c r="D24">
        <v>0.15</v>
      </c>
      <c r="E24" s="2" t="str">
        <f t="shared" si="0"/>
        <v>insert into section values ('MN', 4927, 'sandy', 0.15);</v>
      </c>
    </row>
    <row r="25" spans="1:5" x14ac:dyDescent="0.35">
      <c r="A25" t="s">
        <v>332</v>
      </c>
      <c r="B25">
        <v>4122</v>
      </c>
      <c r="C25" t="s">
        <v>317</v>
      </c>
      <c r="D25">
        <v>0.14000000000000001</v>
      </c>
      <c r="E25" s="2" t="str">
        <f t="shared" si="0"/>
        <v>insert into section values ('MO', 4122, 'clay', 0.14);</v>
      </c>
    </row>
    <row r="26" spans="1:5" x14ac:dyDescent="0.35">
      <c r="A26" t="s">
        <v>333</v>
      </c>
      <c r="B26">
        <v>2210</v>
      </c>
      <c r="C26" t="s">
        <v>308</v>
      </c>
      <c r="D26">
        <v>0.96</v>
      </c>
      <c r="E26" s="2" t="str">
        <f t="shared" si="0"/>
        <v>insert into section values ('MS', 2210, 'loamy', 0.96);</v>
      </c>
    </row>
    <row r="27" spans="1:5" x14ac:dyDescent="0.35">
      <c r="A27" t="s">
        <v>334</v>
      </c>
      <c r="B27">
        <v>1775</v>
      </c>
      <c r="C27" t="s">
        <v>304</v>
      </c>
      <c r="D27">
        <v>0.26</v>
      </c>
      <c r="E27" s="2" t="str">
        <f t="shared" si="0"/>
        <v>insert into section values ('MT', 1775, 'silty', 0.26);</v>
      </c>
    </row>
    <row r="28" spans="1:5" x14ac:dyDescent="0.35">
      <c r="A28" t="s">
        <v>335</v>
      </c>
      <c r="B28">
        <v>4026</v>
      </c>
      <c r="C28" t="s">
        <v>317</v>
      </c>
      <c r="D28">
        <v>0.6</v>
      </c>
      <c r="E28" s="2" t="str">
        <f t="shared" si="0"/>
        <v>insert into section values ('NC', 4026, 'clay', 0.6);</v>
      </c>
    </row>
    <row r="29" spans="1:5" x14ac:dyDescent="0.35">
      <c r="A29" t="s">
        <v>336</v>
      </c>
      <c r="B29">
        <v>1825</v>
      </c>
      <c r="C29" t="s">
        <v>313</v>
      </c>
      <c r="D29">
        <v>0.85</v>
      </c>
      <c r="E29" s="2" t="str">
        <f t="shared" si="0"/>
        <v>insert into section values ('ND', 1825, 'peaty', 0.85);</v>
      </c>
    </row>
    <row r="30" spans="1:5" x14ac:dyDescent="0.35">
      <c r="A30" t="s">
        <v>337</v>
      </c>
      <c r="B30">
        <v>2459</v>
      </c>
      <c r="C30" t="s">
        <v>308</v>
      </c>
      <c r="D30">
        <v>0.99</v>
      </c>
      <c r="E30" s="2" t="str">
        <f t="shared" si="0"/>
        <v>insert into section values ('NE', 2459, 'loamy', 0.99);</v>
      </c>
    </row>
    <row r="31" spans="1:5" x14ac:dyDescent="0.35">
      <c r="A31" t="s">
        <v>338</v>
      </c>
      <c r="B31">
        <v>798</v>
      </c>
      <c r="C31" t="s">
        <v>321</v>
      </c>
      <c r="D31">
        <v>0.17</v>
      </c>
      <c r="E31" s="2" t="str">
        <f t="shared" si="0"/>
        <v>insert into section values ('NH', 798, 'chalky', 0.17);</v>
      </c>
    </row>
    <row r="32" spans="1:5" x14ac:dyDescent="0.35">
      <c r="A32" t="s">
        <v>339</v>
      </c>
      <c r="B32">
        <v>4212</v>
      </c>
      <c r="C32" t="s">
        <v>304</v>
      </c>
      <c r="D32">
        <v>0.02</v>
      </c>
      <c r="E32" s="2" t="str">
        <f t="shared" si="0"/>
        <v>insert into section values ('NJ', 4212, 'silty', 0.02);</v>
      </c>
    </row>
    <row r="33" spans="1:5" x14ac:dyDescent="0.35">
      <c r="A33" t="s">
        <v>340</v>
      </c>
      <c r="B33">
        <v>126</v>
      </c>
      <c r="C33" t="s">
        <v>304</v>
      </c>
      <c r="D33">
        <v>0.57999999999999996</v>
      </c>
      <c r="E33" s="2" t="str">
        <f t="shared" si="0"/>
        <v>insert into section values ('NM', 126, 'silty', 0.58);</v>
      </c>
    </row>
    <row r="34" spans="1:5" x14ac:dyDescent="0.35">
      <c r="A34" t="s">
        <v>341</v>
      </c>
      <c r="B34">
        <v>416</v>
      </c>
      <c r="C34" t="s">
        <v>321</v>
      </c>
      <c r="D34">
        <v>0.79</v>
      </c>
      <c r="E34" s="2" t="str">
        <f t="shared" si="0"/>
        <v>insert into section values ('NV', 416, 'chalky', 0.79);</v>
      </c>
    </row>
    <row r="35" spans="1:5" x14ac:dyDescent="0.35">
      <c r="A35" t="s">
        <v>342</v>
      </c>
      <c r="B35">
        <v>4996</v>
      </c>
      <c r="C35" t="s">
        <v>317</v>
      </c>
      <c r="D35">
        <v>0.08</v>
      </c>
      <c r="E35" s="2" t="str">
        <f t="shared" si="0"/>
        <v>insert into section values ('NY', 4996, 'clay', 0.08);</v>
      </c>
    </row>
    <row r="36" spans="1:5" x14ac:dyDescent="0.35">
      <c r="A36" t="s">
        <v>343</v>
      </c>
      <c r="B36">
        <v>1099</v>
      </c>
      <c r="C36" t="s">
        <v>317</v>
      </c>
      <c r="D36">
        <v>0.34</v>
      </c>
      <c r="E36" s="2" t="str">
        <f t="shared" si="0"/>
        <v>insert into section values ('OH', 1099, 'clay', 0.34);</v>
      </c>
    </row>
    <row r="37" spans="1:5" x14ac:dyDescent="0.35">
      <c r="A37" t="s">
        <v>344</v>
      </c>
      <c r="B37">
        <v>957</v>
      </c>
      <c r="C37" t="s">
        <v>308</v>
      </c>
      <c r="D37">
        <v>0.72</v>
      </c>
      <c r="E37" s="2" t="str">
        <f t="shared" si="0"/>
        <v>insert into section values ('OK', 957, 'loamy', 0.72);</v>
      </c>
    </row>
    <row r="38" spans="1:5" x14ac:dyDescent="0.35">
      <c r="A38" t="s">
        <v>345</v>
      </c>
      <c r="B38">
        <v>3264</v>
      </c>
      <c r="C38" t="s">
        <v>321</v>
      </c>
      <c r="D38">
        <v>0.84</v>
      </c>
      <c r="E38" s="2" t="str">
        <f t="shared" si="0"/>
        <v>insert into section values ('OR', 3264, 'chalky', 0.84);</v>
      </c>
    </row>
    <row r="39" spans="1:5" x14ac:dyDescent="0.35">
      <c r="A39" t="s">
        <v>346</v>
      </c>
      <c r="B39">
        <v>3862</v>
      </c>
      <c r="C39" t="s">
        <v>308</v>
      </c>
      <c r="D39">
        <v>0.33</v>
      </c>
      <c r="E39" s="2" t="str">
        <f t="shared" si="0"/>
        <v>insert into section values ('PA', 3862, 'loamy', 0.33);</v>
      </c>
    </row>
    <row r="40" spans="1:5" x14ac:dyDescent="0.35">
      <c r="A40" t="s">
        <v>347</v>
      </c>
      <c r="B40">
        <v>3772</v>
      </c>
      <c r="C40" t="s">
        <v>311</v>
      </c>
      <c r="D40">
        <v>0.89</v>
      </c>
      <c r="E40" s="2" t="str">
        <f t="shared" si="0"/>
        <v>insert into section values ('RI', 3772, 'sandy', 0.89);</v>
      </c>
    </row>
    <row r="41" spans="1:5" x14ac:dyDescent="0.35">
      <c r="A41" t="s">
        <v>348</v>
      </c>
      <c r="B41">
        <v>3097</v>
      </c>
      <c r="C41" t="s">
        <v>317</v>
      </c>
      <c r="D41">
        <v>0.8</v>
      </c>
      <c r="E41" s="2" t="str">
        <f t="shared" si="0"/>
        <v>insert into section values ('SC', 3097, 'clay', 0.8);</v>
      </c>
    </row>
    <row r="42" spans="1:5" x14ac:dyDescent="0.35">
      <c r="A42" t="s">
        <v>349</v>
      </c>
      <c r="B42">
        <v>438</v>
      </c>
      <c r="C42" t="s">
        <v>304</v>
      </c>
      <c r="D42">
        <v>0.91</v>
      </c>
      <c r="E42" s="2" t="str">
        <f t="shared" si="0"/>
        <v>insert into section values ('SD', 438, 'silty', 0.91);</v>
      </c>
    </row>
    <row r="43" spans="1:5" x14ac:dyDescent="0.35">
      <c r="A43" t="s">
        <v>350</v>
      </c>
      <c r="B43">
        <v>389</v>
      </c>
      <c r="C43" t="s">
        <v>311</v>
      </c>
      <c r="D43">
        <v>0.94</v>
      </c>
      <c r="E43" s="2" t="str">
        <f t="shared" si="0"/>
        <v>insert into section values ('TN', 389, 'sandy', 0.94);</v>
      </c>
    </row>
    <row r="44" spans="1:5" x14ac:dyDescent="0.35">
      <c r="A44" t="s">
        <v>351</v>
      </c>
      <c r="B44">
        <v>841</v>
      </c>
      <c r="C44" t="s">
        <v>304</v>
      </c>
      <c r="D44">
        <v>0.05</v>
      </c>
      <c r="E44" s="2" t="str">
        <f t="shared" si="0"/>
        <v>insert into section values ('TX', 841, 'silty', 0.05);</v>
      </c>
    </row>
    <row r="45" spans="1:5" x14ac:dyDescent="0.35">
      <c r="A45" t="s">
        <v>352</v>
      </c>
      <c r="B45">
        <v>4439</v>
      </c>
      <c r="C45" t="s">
        <v>308</v>
      </c>
      <c r="D45">
        <v>0.54</v>
      </c>
      <c r="E45" s="2" t="str">
        <f t="shared" si="0"/>
        <v>insert into section values ('UT', 4439, 'loamy', 0.54);</v>
      </c>
    </row>
    <row r="46" spans="1:5" x14ac:dyDescent="0.35">
      <c r="A46" t="s">
        <v>353</v>
      </c>
      <c r="B46">
        <v>593</v>
      </c>
      <c r="C46" t="s">
        <v>317</v>
      </c>
      <c r="D46">
        <v>0.78</v>
      </c>
      <c r="E46" s="2" t="str">
        <f t="shared" si="0"/>
        <v>insert into section values ('VA', 593, 'clay', 0.78);</v>
      </c>
    </row>
    <row r="47" spans="1:5" x14ac:dyDescent="0.35">
      <c r="A47" t="s">
        <v>354</v>
      </c>
      <c r="B47">
        <v>212</v>
      </c>
      <c r="C47" t="s">
        <v>317</v>
      </c>
      <c r="D47">
        <v>0.53</v>
      </c>
      <c r="E47" s="2" t="str">
        <f t="shared" si="0"/>
        <v>insert into section values ('VT', 212, 'clay', 0.53);</v>
      </c>
    </row>
    <row r="48" spans="1:5" x14ac:dyDescent="0.35">
      <c r="A48" t="s">
        <v>355</v>
      </c>
      <c r="B48">
        <v>1641</v>
      </c>
      <c r="C48" t="s">
        <v>317</v>
      </c>
      <c r="D48">
        <v>0.05</v>
      </c>
      <c r="E48" s="2" t="str">
        <f t="shared" si="0"/>
        <v>insert into section values ('WA', 1641, 'clay', 0.05);</v>
      </c>
    </row>
    <row r="49" spans="1:5" x14ac:dyDescent="0.35">
      <c r="A49" t="s">
        <v>356</v>
      </c>
      <c r="B49">
        <v>3758</v>
      </c>
      <c r="C49" t="s">
        <v>308</v>
      </c>
      <c r="D49">
        <v>0.25</v>
      </c>
      <c r="E49" s="2" t="str">
        <f t="shared" si="0"/>
        <v>insert into section values ('WI', 3758, 'loamy', 0.25);</v>
      </c>
    </row>
    <row r="50" spans="1:5" x14ac:dyDescent="0.35">
      <c r="A50" t="s">
        <v>357</v>
      </c>
      <c r="B50">
        <v>2437</v>
      </c>
      <c r="C50" t="s">
        <v>313</v>
      </c>
      <c r="D50">
        <v>0.98</v>
      </c>
      <c r="E50" s="2" t="str">
        <f t="shared" si="0"/>
        <v>insert into section values ('WV', 2437, 'peaty', 0.98);</v>
      </c>
    </row>
    <row r="51" spans="1:5" x14ac:dyDescent="0.35">
      <c r="A51" t="s">
        <v>358</v>
      </c>
      <c r="B51">
        <v>461</v>
      </c>
      <c r="C51" t="s">
        <v>311</v>
      </c>
      <c r="D51">
        <v>0.51</v>
      </c>
      <c r="E51" s="2" t="str">
        <f t="shared" si="0"/>
        <v>insert into section values ('WY', 461, 'sandy', 0.51);</v>
      </c>
    </row>
    <row r="52" spans="1:5" x14ac:dyDescent="0.35">
      <c r="A52" t="s">
        <v>563</v>
      </c>
      <c r="B52" t="s">
        <v>563</v>
      </c>
      <c r="C52" t="s">
        <v>563</v>
      </c>
      <c r="D52" t="s">
        <v>563</v>
      </c>
    </row>
    <row r="53" spans="1:5" x14ac:dyDescent="0.35">
      <c r="A53" cm="1">
        <f t="array" ref="A53">MAX(LEN(A2:A51))</f>
        <v>2</v>
      </c>
      <c r="B53" cm="1">
        <f t="array" ref="B53">MAX(LEN(B2:B51))</f>
        <v>4</v>
      </c>
      <c r="C53" cm="1">
        <f t="array" ref="C53">MAX(LEN(C2:C51))</f>
        <v>6</v>
      </c>
      <c r="D53" cm="1">
        <f t="array" ref="D53">MAX(LEN(D2:D51))</f>
        <v>4</v>
      </c>
    </row>
    <row r="54" spans="1:5" x14ac:dyDescent="0.35">
      <c r="C54">
        <v>10</v>
      </c>
    </row>
    <row r="55" spans="1:5" x14ac:dyDescent="0.35">
      <c r="A55" cm="1">
        <f t="array" ref="A55">MIN(LEN(A2:A51))</f>
        <v>2</v>
      </c>
      <c r="B55" cm="1">
        <f t="array" ref="B55">MIN(LEN(B2:B51))</f>
        <v>2</v>
      </c>
      <c r="C55" cm="1">
        <f t="array" ref="C55">MIN(LEN(C2:C51))</f>
        <v>4</v>
      </c>
      <c r="D55" cm="1">
        <f t="array" ref="D55">MIN(LEN(D2:D51))</f>
        <v>3</v>
      </c>
    </row>
    <row r="56" spans="1:5" x14ac:dyDescent="0.35">
      <c r="A56" t="s">
        <v>580</v>
      </c>
      <c r="B56" t="s">
        <v>581</v>
      </c>
      <c r="C56" t="s">
        <v>579</v>
      </c>
      <c r="D56" t="s">
        <v>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224C7-17F2-453E-9699-05B60A81EA50}">
  <dimension ref="A1:G129"/>
  <sheetViews>
    <sheetView topLeftCell="A91" workbookViewId="0">
      <selection activeCell="G28" sqref="G28"/>
    </sheetView>
  </sheetViews>
  <sheetFormatPr defaultRowHeight="14.5" x14ac:dyDescent="0.35"/>
  <cols>
    <col min="1" max="1" width="22.453125" bestFit="1" customWidth="1"/>
    <col min="2" max="2" width="23" bestFit="1" customWidth="1"/>
    <col min="3" max="4" width="22.453125" bestFit="1" customWidth="1"/>
    <col min="5" max="5" width="23" bestFit="1" customWidth="1"/>
    <col min="6" max="6" width="42.26953125" customWidth="1"/>
    <col min="7" max="7" width="50" bestFit="1" customWidth="1"/>
  </cols>
  <sheetData>
    <row r="1" spans="1:7" x14ac:dyDescent="0.35">
      <c r="A1" t="s">
        <v>359</v>
      </c>
      <c r="B1" t="s">
        <v>194</v>
      </c>
      <c r="C1" t="s">
        <v>299</v>
      </c>
      <c r="D1" t="s">
        <v>300</v>
      </c>
      <c r="E1" t="s">
        <v>360</v>
      </c>
    </row>
    <row r="2" spans="1:7" x14ac:dyDescent="0.35">
      <c r="A2">
        <v>1</v>
      </c>
      <c r="B2">
        <v>103</v>
      </c>
      <c r="C2" t="s">
        <v>347</v>
      </c>
      <c r="D2">
        <v>3772</v>
      </c>
      <c r="E2">
        <v>37568</v>
      </c>
      <c r="F2" s="3" t="str">
        <f>"insert into field values ("&amp;A2&amp;", "&amp;B2&amp;", '"&amp;C2&amp;"', "&amp;D2&amp;", "&amp;E2&amp;");"</f>
        <v>insert into field values (1, 103, 'RI', 3772, 37568);</v>
      </c>
      <c r="G2" s="2" t="str">
        <f>SUBSTITUTE(F2, "'NULL'", "NULL")</f>
        <v>insert into field values (1, 103, 'RI', 3772, 37568);</v>
      </c>
    </row>
    <row r="3" spans="1:7" x14ac:dyDescent="0.35">
      <c r="A3">
        <v>2</v>
      </c>
      <c r="B3">
        <v>70</v>
      </c>
      <c r="C3" t="s">
        <v>329</v>
      </c>
      <c r="D3">
        <v>746</v>
      </c>
      <c r="E3">
        <v>47992</v>
      </c>
      <c r="F3" s="3" t="str">
        <f t="shared" ref="F3:F66" si="0">"insert into field values ("&amp;A3&amp;", "&amp;B3&amp;", '"&amp;C3&amp;"', "&amp;D3&amp;", "&amp;E3&amp;");"</f>
        <v>insert into field values (2, 70, 'ME', 746, 47992);</v>
      </c>
      <c r="G3" s="2" t="str">
        <f t="shared" ref="G3:G66" si="1">SUBSTITUTE(F3, "'NULL'", "NULL")</f>
        <v>insert into field values (2, 70, 'ME', 746, 47992);</v>
      </c>
    </row>
    <row r="4" spans="1:7" x14ac:dyDescent="0.35">
      <c r="A4">
        <v>3</v>
      </c>
      <c r="B4">
        <v>70</v>
      </c>
      <c r="C4" t="s">
        <v>315</v>
      </c>
      <c r="D4">
        <v>795</v>
      </c>
      <c r="E4">
        <v>12653</v>
      </c>
      <c r="F4" s="3" t="str">
        <f t="shared" si="0"/>
        <v>insert into field values (3, 70, 'FL', 795, 12653);</v>
      </c>
      <c r="G4" s="2" t="str">
        <f t="shared" si="1"/>
        <v>insert into field values (3, 70, 'FL', 795, 12653);</v>
      </c>
    </row>
    <row r="5" spans="1:7" x14ac:dyDescent="0.35">
      <c r="A5">
        <v>4</v>
      </c>
      <c r="B5">
        <v>56</v>
      </c>
      <c r="C5" t="s">
        <v>358</v>
      </c>
      <c r="D5">
        <v>461</v>
      </c>
      <c r="E5">
        <v>26775</v>
      </c>
      <c r="F5" s="3" t="str">
        <f t="shared" si="0"/>
        <v>insert into field values (4, 56, 'WY', 461, 26775);</v>
      </c>
      <c r="G5" s="2" t="str">
        <f t="shared" si="1"/>
        <v>insert into field values (4, 56, 'WY', 461, 26775);</v>
      </c>
    </row>
    <row r="6" spans="1:7" x14ac:dyDescent="0.35">
      <c r="A6">
        <v>5</v>
      </c>
      <c r="B6">
        <v>35</v>
      </c>
      <c r="C6" t="s">
        <v>310</v>
      </c>
      <c r="D6">
        <v>3137</v>
      </c>
      <c r="E6">
        <v>43957</v>
      </c>
      <c r="F6" s="3" t="str">
        <f t="shared" si="0"/>
        <v>insert into field values (5, 35, 'CO', 3137, 43957);</v>
      </c>
      <c r="G6" s="2" t="str">
        <f t="shared" si="1"/>
        <v>insert into field values (5, 35, 'CO', 3137, 43957);</v>
      </c>
    </row>
    <row r="7" spans="1:7" x14ac:dyDescent="0.35">
      <c r="A7">
        <v>6</v>
      </c>
      <c r="B7">
        <v>59</v>
      </c>
      <c r="C7" t="s">
        <v>324</v>
      </c>
      <c r="D7">
        <v>4487</v>
      </c>
      <c r="E7">
        <v>20817</v>
      </c>
      <c r="F7" s="3" t="str">
        <f t="shared" si="0"/>
        <v>insert into field values (6, 59, 'KS', 4487, 20817);</v>
      </c>
      <c r="G7" s="2" t="str">
        <f t="shared" si="1"/>
        <v>insert into field values (6, 59, 'KS', 4487, 20817);</v>
      </c>
    </row>
    <row r="8" spans="1:7" x14ac:dyDescent="0.35">
      <c r="A8">
        <v>7</v>
      </c>
      <c r="B8">
        <v>59</v>
      </c>
      <c r="C8" t="s">
        <v>349</v>
      </c>
      <c r="D8">
        <v>438</v>
      </c>
      <c r="E8">
        <v>1227</v>
      </c>
      <c r="F8" s="3" t="str">
        <f t="shared" si="0"/>
        <v>insert into field values (7, 59, 'SD', 438, 1227);</v>
      </c>
      <c r="G8" s="2" t="str">
        <f t="shared" si="1"/>
        <v>insert into field values (7, 59, 'SD', 438, 1227);</v>
      </c>
    </row>
    <row r="9" spans="1:7" x14ac:dyDescent="0.35">
      <c r="A9">
        <v>8</v>
      </c>
      <c r="B9">
        <v>4</v>
      </c>
      <c r="C9" t="s">
        <v>331</v>
      </c>
      <c r="D9">
        <v>4927</v>
      </c>
      <c r="E9">
        <v>31339</v>
      </c>
      <c r="F9" s="3" t="str">
        <f t="shared" si="0"/>
        <v>insert into field values (8, 4, 'MN', 4927, 31339);</v>
      </c>
      <c r="G9" s="2" t="str">
        <f t="shared" si="1"/>
        <v>insert into field values (8, 4, 'MN', 4927, 31339);</v>
      </c>
    </row>
    <row r="10" spans="1:7" x14ac:dyDescent="0.35">
      <c r="A10">
        <v>9</v>
      </c>
      <c r="B10">
        <v>125</v>
      </c>
      <c r="C10" t="s">
        <v>319</v>
      </c>
      <c r="D10">
        <v>186</v>
      </c>
      <c r="E10">
        <v>38878</v>
      </c>
      <c r="F10" s="3" t="str">
        <f t="shared" si="0"/>
        <v>insert into field values (9, 125, 'IA', 186, 38878);</v>
      </c>
      <c r="G10" s="2" t="str">
        <f t="shared" si="1"/>
        <v>insert into field values (9, 125, 'IA', 186, 38878);</v>
      </c>
    </row>
    <row r="11" spans="1:7" x14ac:dyDescent="0.35">
      <c r="A11">
        <v>10</v>
      </c>
      <c r="B11">
        <v>40</v>
      </c>
      <c r="C11" t="s">
        <v>303</v>
      </c>
      <c r="D11">
        <v>175</v>
      </c>
      <c r="E11">
        <v>14479</v>
      </c>
      <c r="F11" s="3" t="str">
        <f t="shared" si="0"/>
        <v>insert into field values (10, 40, 'AK', 175, 14479);</v>
      </c>
      <c r="G11" s="2" t="str">
        <f t="shared" si="1"/>
        <v>insert into field values (10, 40, 'AK', 175, 14479);</v>
      </c>
    </row>
    <row r="12" spans="1:7" x14ac:dyDescent="0.35">
      <c r="A12">
        <v>11</v>
      </c>
      <c r="B12">
        <v>107</v>
      </c>
      <c r="C12" t="s">
        <v>347</v>
      </c>
      <c r="D12">
        <v>3772</v>
      </c>
      <c r="E12">
        <v>47424</v>
      </c>
      <c r="F12" s="3" t="str">
        <f t="shared" si="0"/>
        <v>insert into field values (11, 107, 'RI', 3772, 47424);</v>
      </c>
      <c r="G12" s="2" t="str">
        <f t="shared" si="1"/>
        <v>insert into field values (11, 107, 'RI', 3772, 47424);</v>
      </c>
    </row>
    <row r="13" spans="1:7" x14ac:dyDescent="0.35">
      <c r="A13">
        <v>12</v>
      </c>
      <c r="B13">
        <v>5</v>
      </c>
      <c r="C13" t="s">
        <v>305</v>
      </c>
      <c r="D13">
        <v>2777</v>
      </c>
      <c r="E13">
        <v>25319</v>
      </c>
      <c r="F13" s="3" t="str">
        <f t="shared" si="0"/>
        <v>insert into field values (12, 5, 'AL', 2777, 25319);</v>
      </c>
      <c r="G13" s="2" t="str">
        <f t="shared" si="1"/>
        <v>insert into field values (12, 5, 'AL', 2777, 25319);</v>
      </c>
    </row>
    <row r="14" spans="1:7" x14ac:dyDescent="0.35">
      <c r="A14">
        <v>13</v>
      </c>
      <c r="B14">
        <v>66</v>
      </c>
      <c r="C14" t="s">
        <v>303</v>
      </c>
      <c r="D14">
        <v>175</v>
      </c>
      <c r="E14" t="s">
        <v>79</v>
      </c>
      <c r="F14" s="3" t="str">
        <f t="shared" si="0"/>
        <v>insert into field values (13, 66, 'AK', 175, NULL);</v>
      </c>
      <c r="G14" s="2" t="str">
        <f t="shared" si="1"/>
        <v>insert into field values (13, 66, 'AK', 175, NULL);</v>
      </c>
    </row>
    <row r="15" spans="1:7" x14ac:dyDescent="0.35">
      <c r="A15">
        <v>14</v>
      </c>
      <c r="B15">
        <v>86</v>
      </c>
      <c r="C15" t="s">
        <v>334</v>
      </c>
      <c r="D15">
        <v>1775</v>
      </c>
      <c r="E15">
        <v>30351</v>
      </c>
      <c r="F15" s="3" t="str">
        <f t="shared" si="0"/>
        <v>insert into field values (14, 86, 'MT', 1775, 30351);</v>
      </c>
      <c r="G15" s="2" t="str">
        <f t="shared" si="1"/>
        <v>insert into field values (14, 86, 'MT', 1775, 30351);</v>
      </c>
    </row>
    <row r="16" spans="1:7" x14ac:dyDescent="0.35">
      <c r="A16">
        <v>15</v>
      </c>
      <c r="B16">
        <v>11</v>
      </c>
      <c r="C16" t="s">
        <v>328</v>
      </c>
      <c r="D16">
        <v>3306</v>
      </c>
      <c r="E16">
        <v>40762</v>
      </c>
      <c r="F16" s="3" t="str">
        <f t="shared" si="0"/>
        <v>insert into field values (15, 11, 'MD', 3306, 40762);</v>
      </c>
      <c r="G16" s="2" t="str">
        <f t="shared" si="1"/>
        <v>insert into field values (15, 11, 'MD', 3306, 40762);</v>
      </c>
    </row>
    <row r="17" spans="1:7" x14ac:dyDescent="0.35">
      <c r="A17">
        <v>16</v>
      </c>
      <c r="B17">
        <v>57</v>
      </c>
      <c r="C17" t="s">
        <v>322</v>
      </c>
      <c r="D17">
        <v>1563</v>
      </c>
      <c r="E17">
        <v>24778</v>
      </c>
      <c r="F17" s="3" t="str">
        <f t="shared" si="0"/>
        <v>insert into field values (16, 57, 'IL', 1563, 24778);</v>
      </c>
      <c r="G17" s="2" t="str">
        <f t="shared" si="1"/>
        <v>insert into field values (16, 57, 'IL', 1563, 24778);</v>
      </c>
    </row>
    <row r="18" spans="1:7" x14ac:dyDescent="0.35">
      <c r="A18">
        <v>17</v>
      </c>
      <c r="B18">
        <v>124</v>
      </c>
      <c r="C18" t="s">
        <v>344</v>
      </c>
      <c r="D18">
        <v>957</v>
      </c>
      <c r="E18">
        <v>15284</v>
      </c>
      <c r="F18" s="3" t="str">
        <f t="shared" si="0"/>
        <v>insert into field values (17, 124, 'OK', 957, 15284);</v>
      </c>
      <c r="G18" s="2" t="str">
        <f t="shared" si="1"/>
        <v>insert into field values (17, 124, 'OK', 957, 15284);</v>
      </c>
    </row>
    <row r="19" spans="1:7" x14ac:dyDescent="0.35">
      <c r="A19">
        <v>18</v>
      </c>
      <c r="B19">
        <v>96</v>
      </c>
      <c r="C19" t="s">
        <v>319</v>
      </c>
      <c r="D19">
        <v>186</v>
      </c>
      <c r="E19">
        <v>36380</v>
      </c>
      <c r="F19" s="3" t="str">
        <f t="shared" si="0"/>
        <v>insert into field values (18, 96, 'IA', 186, 36380);</v>
      </c>
      <c r="G19" s="2" t="str">
        <f t="shared" si="1"/>
        <v>insert into field values (18, 96, 'IA', 186, 36380);</v>
      </c>
    </row>
    <row r="20" spans="1:7" x14ac:dyDescent="0.35">
      <c r="A20">
        <v>19</v>
      </c>
      <c r="B20">
        <v>48</v>
      </c>
      <c r="C20" t="s">
        <v>345</v>
      </c>
      <c r="D20">
        <v>3264</v>
      </c>
      <c r="E20">
        <v>17664</v>
      </c>
      <c r="F20" s="3" t="str">
        <f t="shared" si="0"/>
        <v>insert into field values (19, 48, 'OR', 3264, 17664);</v>
      </c>
      <c r="G20" s="2" t="str">
        <f t="shared" si="1"/>
        <v>insert into field values (19, 48, 'OR', 3264, 17664);</v>
      </c>
    </row>
    <row r="21" spans="1:7" x14ac:dyDescent="0.35">
      <c r="A21">
        <v>20</v>
      </c>
      <c r="B21">
        <v>120</v>
      </c>
      <c r="C21" t="s">
        <v>309</v>
      </c>
      <c r="D21">
        <v>2488</v>
      </c>
      <c r="E21">
        <v>49992</v>
      </c>
      <c r="F21" s="3" t="str">
        <f t="shared" si="0"/>
        <v>insert into field values (20, 120, 'CA', 2488, 49992);</v>
      </c>
      <c r="G21" s="2" t="str">
        <f t="shared" si="1"/>
        <v>insert into field values (20, 120, 'CA', 2488, 49992);</v>
      </c>
    </row>
    <row r="22" spans="1:7" x14ac:dyDescent="0.35">
      <c r="A22">
        <v>21</v>
      </c>
      <c r="B22">
        <v>90</v>
      </c>
      <c r="C22" t="s">
        <v>309</v>
      </c>
      <c r="D22">
        <v>2488</v>
      </c>
      <c r="E22">
        <v>6561</v>
      </c>
      <c r="F22" s="3" t="str">
        <f t="shared" si="0"/>
        <v>insert into field values (21, 90, 'CA', 2488, 6561);</v>
      </c>
      <c r="G22" s="2" t="str">
        <f t="shared" si="1"/>
        <v>insert into field values (21, 90, 'CA', 2488, 6561);</v>
      </c>
    </row>
    <row r="23" spans="1:7" x14ac:dyDescent="0.35">
      <c r="A23">
        <v>22</v>
      </c>
      <c r="B23">
        <v>35</v>
      </c>
      <c r="C23" t="s">
        <v>325</v>
      </c>
      <c r="D23">
        <v>4222</v>
      </c>
      <c r="E23">
        <v>39622</v>
      </c>
      <c r="F23" s="3" t="str">
        <f t="shared" si="0"/>
        <v>insert into field values (22, 35, 'KY', 4222, 39622);</v>
      </c>
      <c r="G23" s="2" t="str">
        <f t="shared" si="1"/>
        <v>insert into field values (22, 35, 'KY', 4222, 39622);</v>
      </c>
    </row>
    <row r="24" spans="1:7" x14ac:dyDescent="0.35">
      <c r="A24">
        <v>23</v>
      </c>
      <c r="B24">
        <v>100</v>
      </c>
      <c r="C24" t="s">
        <v>325</v>
      </c>
      <c r="D24">
        <v>4222</v>
      </c>
      <c r="E24">
        <v>49721</v>
      </c>
      <c r="F24" s="3" t="str">
        <f t="shared" si="0"/>
        <v>insert into field values (23, 100, 'KY', 4222, 49721);</v>
      </c>
      <c r="G24" s="2" t="str">
        <f t="shared" si="1"/>
        <v>insert into field values (23, 100, 'KY', 4222, 49721);</v>
      </c>
    </row>
    <row r="25" spans="1:7" x14ac:dyDescent="0.35">
      <c r="A25">
        <v>24</v>
      </c>
      <c r="B25">
        <v>58</v>
      </c>
      <c r="C25" t="s">
        <v>345</v>
      </c>
      <c r="D25">
        <v>3264</v>
      </c>
      <c r="E25">
        <v>9466</v>
      </c>
      <c r="F25" s="3" t="str">
        <f t="shared" si="0"/>
        <v>insert into field values (24, 58, 'OR', 3264, 9466);</v>
      </c>
      <c r="G25" s="2" t="str">
        <f t="shared" si="1"/>
        <v>insert into field values (24, 58, 'OR', 3264, 9466);</v>
      </c>
    </row>
    <row r="26" spans="1:7" x14ac:dyDescent="0.35">
      <c r="A26">
        <v>25</v>
      </c>
      <c r="B26">
        <v>28</v>
      </c>
      <c r="C26" t="s">
        <v>353</v>
      </c>
      <c r="D26">
        <v>593</v>
      </c>
      <c r="E26">
        <v>15962</v>
      </c>
      <c r="F26" s="3" t="str">
        <f t="shared" si="0"/>
        <v>insert into field values (25, 28, 'VA', 593, 15962);</v>
      </c>
      <c r="G26" s="2" t="str">
        <f t="shared" si="1"/>
        <v>insert into field values (25, 28, 'VA', 593, 15962);</v>
      </c>
    </row>
    <row r="27" spans="1:7" x14ac:dyDescent="0.35">
      <c r="A27">
        <v>26</v>
      </c>
      <c r="B27">
        <v>90</v>
      </c>
      <c r="C27" t="s">
        <v>349</v>
      </c>
      <c r="D27">
        <v>438</v>
      </c>
      <c r="E27">
        <v>18076</v>
      </c>
      <c r="F27" s="3" t="str">
        <f t="shared" si="0"/>
        <v>insert into field values (26, 90, 'SD', 438, 18076);</v>
      </c>
      <c r="G27" s="2" t="str">
        <f t="shared" si="1"/>
        <v>insert into field values (26, 90, 'SD', 438, 18076);</v>
      </c>
    </row>
    <row r="28" spans="1:7" x14ac:dyDescent="0.35">
      <c r="A28">
        <v>27</v>
      </c>
      <c r="B28">
        <v>61</v>
      </c>
      <c r="C28" t="s">
        <v>341</v>
      </c>
      <c r="D28">
        <v>416</v>
      </c>
      <c r="E28">
        <v>12179</v>
      </c>
      <c r="F28" s="3" t="str">
        <f t="shared" si="0"/>
        <v>insert into field values (27, 61, 'NV', 416, 12179);</v>
      </c>
      <c r="G28" s="2" t="str">
        <f t="shared" si="1"/>
        <v>insert into field values (27, 61, 'NV', 416, 12179);</v>
      </c>
    </row>
    <row r="29" spans="1:7" x14ac:dyDescent="0.35">
      <c r="A29">
        <v>28</v>
      </c>
      <c r="B29">
        <v>110</v>
      </c>
      <c r="C29" t="s">
        <v>355</v>
      </c>
      <c r="D29">
        <v>1641</v>
      </c>
      <c r="E29">
        <v>14529</v>
      </c>
      <c r="F29" s="3" t="str">
        <f t="shared" si="0"/>
        <v>insert into field values (28, 110, 'WA', 1641, 14529);</v>
      </c>
      <c r="G29" s="2" t="str">
        <f t="shared" si="1"/>
        <v>insert into field values (28, 110, 'WA', 1641, 14529);</v>
      </c>
    </row>
    <row r="30" spans="1:7" x14ac:dyDescent="0.35">
      <c r="A30">
        <v>29</v>
      </c>
      <c r="B30">
        <v>92</v>
      </c>
      <c r="C30" t="s">
        <v>309</v>
      </c>
      <c r="D30">
        <v>2488</v>
      </c>
      <c r="E30">
        <v>42046</v>
      </c>
      <c r="F30" s="3" t="str">
        <f t="shared" si="0"/>
        <v>insert into field values (29, 92, 'CA', 2488, 42046);</v>
      </c>
      <c r="G30" s="2" t="str">
        <f t="shared" si="1"/>
        <v>insert into field values (29, 92, 'CA', 2488, 42046);</v>
      </c>
    </row>
    <row r="31" spans="1:7" x14ac:dyDescent="0.35">
      <c r="A31">
        <v>30</v>
      </c>
      <c r="B31">
        <v>85</v>
      </c>
      <c r="C31" t="s">
        <v>343</v>
      </c>
      <c r="D31">
        <v>1099</v>
      </c>
      <c r="E31">
        <v>36521</v>
      </c>
      <c r="F31" s="3" t="str">
        <f t="shared" si="0"/>
        <v>insert into field values (30, 85, 'OH', 1099, 36521);</v>
      </c>
      <c r="G31" s="2" t="str">
        <f t="shared" si="1"/>
        <v>insert into field values (30, 85, 'OH', 1099, 36521);</v>
      </c>
    </row>
    <row r="32" spans="1:7" x14ac:dyDescent="0.35">
      <c r="A32">
        <v>31</v>
      </c>
      <c r="B32">
        <v>28</v>
      </c>
      <c r="C32" t="s">
        <v>355</v>
      </c>
      <c r="D32">
        <v>1641</v>
      </c>
      <c r="E32">
        <v>48897</v>
      </c>
      <c r="F32" s="3" t="str">
        <f t="shared" si="0"/>
        <v>insert into field values (31, 28, 'WA', 1641, 48897);</v>
      </c>
      <c r="G32" s="2" t="str">
        <f t="shared" si="1"/>
        <v>insert into field values (31, 28, 'WA', 1641, 48897);</v>
      </c>
    </row>
    <row r="33" spans="1:7" x14ac:dyDescent="0.35">
      <c r="A33">
        <v>32</v>
      </c>
      <c r="B33">
        <v>113</v>
      </c>
      <c r="C33" t="s">
        <v>358</v>
      </c>
      <c r="D33">
        <v>461</v>
      </c>
      <c r="E33">
        <v>25811</v>
      </c>
      <c r="F33" s="3" t="str">
        <f t="shared" si="0"/>
        <v>insert into field values (32, 113, 'WY', 461, 25811);</v>
      </c>
      <c r="G33" s="2" t="str">
        <f t="shared" si="1"/>
        <v>insert into field values (32, 113, 'WY', 461, 25811);</v>
      </c>
    </row>
    <row r="34" spans="1:7" x14ac:dyDescent="0.35">
      <c r="A34">
        <v>33</v>
      </c>
      <c r="B34">
        <v>105</v>
      </c>
      <c r="C34" t="s">
        <v>310</v>
      </c>
      <c r="D34">
        <v>3137</v>
      </c>
      <c r="E34">
        <v>10976</v>
      </c>
      <c r="F34" s="3" t="str">
        <f t="shared" si="0"/>
        <v>insert into field values (33, 105, 'CO', 3137, 10976);</v>
      </c>
      <c r="G34" s="2" t="str">
        <f t="shared" si="1"/>
        <v>insert into field values (33, 105, 'CO', 3137, 10976);</v>
      </c>
    </row>
    <row r="35" spans="1:7" x14ac:dyDescent="0.35">
      <c r="A35">
        <v>34</v>
      </c>
      <c r="B35">
        <v>81</v>
      </c>
      <c r="C35" t="s">
        <v>305</v>
      </c>
      <c r="D35">
        <v>2777</v>
      </c>
      <c r="E35">
        <v>1737</v>
      </c>
      <c r="F35" s="3" t="str">
        <f t="shared" si="0"/>
        <v>insert into field values (34, 81, 'AL', 2777, 1737);</v>
      </c>
      <c r="G35" s="2" t="str">
        <f t="shared" si="1"/>
        <v>insert into field values (34, 81, 'AL', 2777, 1737);</v>
      </c>
    </row>
    <row r="36" spans="1:7" x14ac:dyDescent="0.35">
      <c r="A36">
        <v>35</v>
      </c>
      <c r="B36">
        <v>28</v>
      </c>
      <c r="C36" t="s">
        <v>326</v>
      </c>
      <c r="D36">
        <v>4300</v>
      </c>
      <c r="E36">
        <v>7796</v>
      </c>
      <c r="F36" s="3" t="str">
        <f t="shared" si="0"/>
        <v>insert into field values (35, 28, 'LA', 4300, 7796);</v>
      </c>
      <c r="G36" s="2" t="str">
        <f t="shared" si="1"/>
        <v>insert into field values (35, 28, 'LA', 4300, 7796);</v>
      </c>
    </row>
    <row r="37" spans="1:7" x14ac:dyDescent="0.35">
      <c r="A37">
        <v>36</v>
      </c>
      <c r="B37">
        <v>61</v>
      </c>
      <c r="C37" t="s">
        <v>351</v>
      </c>
      <c r="D37">
        <v>841</v>
      </c>
      <c r="E37">
        <v>20725</v>
      </c>
      <c r="F37" s="3" t="str">
        <f t="shared" si="0"/>
        <v>insert into field values (36, 61, 'TX', 841, 20725);</v>
      </c>
      <c r="G37" s="2" t="str">
        <f t="shared" si="1"/>
        <v>insert into field values (36, 61, 'TX', 841, 20725);</v>
      </c>
    </row>
    <row r="38" spans="1:7" x14ac:dyDescent="0.35">
      <c r="A38">
        <v>37</v>
      </c>
      <c r="B38">
        <v>90</v>
      </c>
      <c r="C38" t="s">
        <v>343</v>
      </c>
      <c r="D38">
        <v>1099</v>
      </c>
      <c r="E38">
        <v>7869</v>
      </c>
      <c r="F38" s="3" t="str">
        <f t="shared" si="0"/>
        <v>insert into field values (37, 90, 'OH', 1099, 7869);</v>
      </c>
      <c r="G38" s="2" t="str">
        <f t="shared" si="1"/>
        <v>insert into field values (37, 90, 'OH', 1099, 7869);</v>
      </c>
    </row>
    <row r="39" spans="1:7" x14ac:dyDescent="0.35">
      <c r="A39">
        <v>38</v>
      </c>
      <c r="B39">
        <v>13</v>
      </c>
      <c r="C39" t="s">
        <v>346</v>
      </c>
      <c r="D39">
        <v>3862</v>
      </c>
      <c r="E39">
        <v>34478</v>
      </c>
      <c r="F39" s="3" t="str">
        <f t="shared" si="0"/>
        <v>insert into field values (38, 13, 'PA', 3862, 34478);</v>
      </c>
      <c r="G39" s="2" t="str">
        <f t="shared" si="1"/>
        <v>insert into field values (38, 13, 'PA', 3862, 34478);</v>
      </c>
    </row>
    <row r="40" spans="1:7" x14ac:dyDescent="0.35">
      <c r="A40">
        <v>39</v>
      </c>
      <c r="B40">
        <v>90</v>
      </c>
      <c r="C40" t="s">
        <v>343</v>
      </c>
      <c r="D40">
        <v>1099</v>
      </c>
      <c r="E40">
        <v>1718</v>
      </c>
      <c r="F40" s="3" t="str">
        <f t="shared" si="0"/>
        <v>insert into field values (39, 90, 'OH', 1099, 1718);</v>
      </c>
      <c r="G40" s="2" t="str">
        <f t="shared" si="1"/>
        <v>insert into field values (39, 90, 'OH', 1099, 1718);</v>
      </c>
    </row>
    <row r="41" spans="1:7" x14ac:dyDescent="0.35">
      <c r="A41">
        <v>40</v>
      </c>
      <c r="B41">
        <v>114</v>
      </c>
      <c r="C41" t="s">
        <v>309</v>
      </c>
      <c r="D41">
        <v>2488</v>
      </c>
      <c r="E41">
        <v>22826</v>
      </c>
      <c r="F41" s="3" t="str">
        <f t="shared" si="0"/>
        <v>insert into field values (40, 114, 'CA', 2488, 22826);</v>
      </c>
      <c r="G41" s="2" t="str">
        <f t="shared" si="1"/>
        <v>insert into field values (40, 114, 'CA', 2488, 22826);</v>
      </c>
    </row>
    <row r="42" spans="1:7" x14ac:dyDescent="0.35">
      <c r="A42">
        <v>41</v>
      </c>
      <c r="B42">
        <v>60</v>
      </c>
      <c r="C42" t="s">
        <v>306</v>
      </c>
      <c r="D42">
        <v>2078</v>
      </c>
      <c r="E42">
        <v>32767</v>
      </c>
      <c r="F42" s="3" t="str">
        <f t="shared" si="0"/>
        <v>insert into field values (41, 60, 'AR', 2078, 32767);</v>
      </c>
      <c r="G42" s="2" t="str">
        <f t="shared" si="1"/>
        <v>insert into field values (41, 60, 'AR', 2078, 32767);</v>
      </c>
    </row>
    <row r="43" spans="1:7" x14ac:dyDescent="0.35">
      <c r="A43">
        <v>42</v>
      </c>
      <c r="B43">
        <v>41</v>
      </c>
      <c r="C43" t="s">
        <v>322</v>
      </c>
      <c r="D43">
        <v>1563</v>
      </c>
      <c r="E43">
        <v>23662</v>
      </c>
      <c r="F43" s="3" t="str">
        <f t="shared" si="0"/>
        <v>insert into field values (42, 41, 'IL', 1563, 23662);</v>
      </c>
      <c r="G43" s="2" t="str">
        <f t="shared" si="1"/>
        <v>insert into field values (42, 41, 'IL', 1563, 23662);</v>
      </c>
    </row>
    <row r="44" spans="1:7" x14ac:dyDescent="0.35">
      <c r="A44">
        <v>43</v>
      </c>
      <c r="B44">
        <v>59</v>
      </c>
      <c r="C44" t="s">
        <v>322</v>
      </c>
      <c r="D44">
        <v>1563</v>
      </c>
      <c r="E44">
        <v>42888</v>
      </c>
      <c r="F44" s="3" t="str">
        <f t="shared" si="0"/>
        <v>insert into field values (43, 59, 'IL', 1563, 42888);</v>
      </c>
      <c r="G44" s="2" t="str">
        <f t="shared" si="1"/>
        <v>insert into field values (43, 59, 'IL', 1563, 42888);</v>
      </c>
    </row>
    <row r="45" spans="1:7" x14ac:dyDescent="0.35">
      <c r="A45">
        <v>44</v>
      </c>
      <c r="B45">
        <v>102</v>
      </c>
      <c r="C45" t="s">
        <v>333</v>
      </c>
      <c r="D45">
        <v>2210</v>
      </c>
      <c r="E45">
        <v>9324</v>
      </c>
      <c r="F45" s="3" t="str">
        <f t="shared" si="0"/>
        <v>insert into field values (44, 102, 'MS', 2210, 9324);</v>
      </c>
      <c r="G45" s="2" t="str">
        <f t="shared" si="1"/>
        <v>insert into field values (44, 102, 'MS', 2210, 9324);</v>
      </c>
    </row>
    <row r="46" spans="1:7" x14ac:dyDescent="0.35">
      <c r="A46">
        <v>45</v>
      </c>
      <c r="B46">
        <v>96</v>
      </c>
      <c r="C46" t="s">
        <v>357</v>
      </c>
      <c r="D46">
        <v>2437</v>
      </c>
      <c r="E46">
        <v>29612</v>
      </c>
      <c r="F46" s="3" t="str">
        <f t="shared" si="0"/>
        <v>insert into field values (45, 96, 'WV', 2437, 29612);</v>
      </c>
      <c r="G46" s="2" t="str">
        <f t="shared" si="1"/>
        <v>insert into field values (45, 96, 'WV', 2437, 29612);</v>
      </c>
    </row>
    <row r="47" spans="1:7" x14ac:dyDescent="0.35">
      <c r="A47">
        <v>46</v>
      </c>
      <c r="B47">
        <v>37</v>
      </c>
      <c r="C47" t="s">
        <v>336</v>
      </c>
      <c r="D47">
        <v>1825</v>
      </c>
      <c r="E47">
        <v>36972</v>
      </c>
      <c r="F47" s="3" t="str">
        <f t="shared" si="0"/>
        <v>insert into field values (46, 37, 'ND', 1825, 36972);</v>
      </c>
      <c r="G47" s="2" t="str">
        <f t="shared" si="1"/>
        <v>insert into field values (46, 37, 'ND', 1825, 36972);</v>
      </c>
    </row>
    <row r="48" spans="1:7" x14ac:dyDescent="0.35">
      <c r="A48">
        <v>47</v>
      </c>
      <c r="B48">
        <v>83</v>
      </c>
      <c r="C48" t="s">
        <v>303</v>
      </c>
      <c r="D48">
        <v>175</v>
      </c>
      <c r="E48">
        <v>20224</v>
      </c>
      <c r="F48" s="3" t="str">
        <f t="shared" si="0"/>
        <v>insert into field values (47, 83, 'AK', 175, 20224);</v>
      </c>
      <c r="G48" s="2" t="str">
        <f t="shared" si="1"/>
        <v>insert into field values (47, 83, 'AK', 175, 20224);</v>
      </c>
    </row>
    <row r="49" spans="1:7" x14ac:dyDescent="0.35">
      <c r="A49">
        <v>48</v>
      </c>
      <c r="B49">
        <v>36</v>
      </c>
      <c r="C49" t="s">
        <v>333</v>
      </c>
      <c r="D49">
        <v>2210</v>
      </c>
      <c r="E49">
        <v>26921</v>
      </c>
      <c r="F49" s="3" t="str">
        <f t="shared" si="0"/>
        <v>insert into field values (48, 36, 'MS', 2210, 26921);</v>
      </c>
      <c r="G49" s="2" t="str">
        <f t="shared" si="1"/>
        <v>insert into field values (48, 36, 'MS', 2210, 26921);</v>
      </c>
    </row>
    <row r="50" spans="1:7" x14ac:dyDescent="0.35">
      <c r="A50">
        <v>49</v>
      </c>
      <c r="B50">
        <v>28</v>
      </c>
      <c r="C50" t="s">
        <v>326</v>
      </c>
      <c r="D50">
        <v>4300</v>
      </c>
      <c r="E50">
        <v>33842</v>
      </c>
      <c r="F50" s="3" t="str">
        <f t="shared" si="0"/>
        <v>insert into field values (49, 28, 'LA', 4300, 33842);</v>
      </c>
      <c r="G50" s="2" t="str">
        <f t="shared" si="1"/>
        <v>insert into field values (49, 28, 'LA', 4300, 33842);</v>
      </c>
    </row>
    <row r="51" spans="1:7" x14ac:dyDescent="0.35">
      <c r="A51">
        <v>50</v>
      </c>
      <c r="B51">
        <v>9</v>
      </c>
      <c r="C51" t="s">
        <v>333</v>
      </c>
      <c r="D51">
        <v>2210</v>
      </c>
      <c r="E51">
        <v>42403</v>
      </c>
      <c r="F51" s="3" t="str">
        <f t="shared" si="0"/>
        <v>insert into field values (50, 9, 'MS', 2210, 42403);</v>
      </c>
      <c r="G51" s="2" t="str">
        <f t="shared" si="1"/>
        <v>insert into field values (50, 9, 'MS', 2210, 42403);</v>
      </c>
    </row>
    <row r="52" spans="1:7" x14ac:dyDescent="0.35">
      <c r="A52">
        <v>51</v>
      </c>
      <c r="B52">
        <v>87</v>
      </c>
      <c r="C52" t="s">
        <v>341</v>
      </c>
      <c r="D52">
        <v>416</v>
      </c>
      <c r="E52">
        <v>1931</v>
      </c>
      <c r="F52" s="3" t="str">
        <f t="shared" si="0"/>
        <v>insert into field values (51, 87, 'NV', 416, 1931);</v>
      </c>
      <c r="G52" s="2" t="str">
        <f t="shared" si="1"/>
        <v>insert into field values (51, 87, 'NV', 416, 1931);</v>
      </c>
    </row>
    <row r="53" spans="1:7" x14ac:dyDescent="0.35">
      <c r="A53">
        <v>52</v>
      </c>
      <c r="B53">
        <v>116</v>
      </c>
      <c r="C53" t="s">
        <v>340</v>
      </c>
      <c r="D53">
        <v>126</v>
      </c>
      <c r="E53">
        <v>508</v>
      </c>
      <c r="F53" s="3" t="str">
        <f t="shared" si="0"/>
        <v>insert into field values (52, 116, 'NM', 126, 508);</v>
      </c>
      <c r="G53" s="2" t="str">
        <f t="shared" si="1"/>
        <v>insert into field values (52, 116, 'NM', 126, 508);</v>
      </c>
    </row>
    <row r="54" spans="1:7" x14ac:dyDescent="0.35">
      <c r="A54">
        <v>53</v>
      </c>
      <c r="B54">
        <v>117</v>
      </c>
      <c r="C54" t="s">
        <v>307</v>
      </c>
      <c r="D54">
        <v>2520</v>
      </c>
      <c r="E54">
        <v>48737</v>
      </c>
      <c r="F54" s="3" t="str">
        <f t="shared" si="0"/>
        <v>insert into field values (53, 117, 'AZ', 2520, 48737);</v>
      </c>
      <c r="G54" s="2" t="str">
        <f t="shared" si="1"/>
        <v>insert into field values (53, 117, 'AZ', 2520, 48737);</v>
      </c>
    </row>
    <row r="55" spans="1:7" x14ac:dyDescent="0.35">
      <c r="A55">
        <v>54</v>
      </c>
      <c r="B55">
        <v>113</v>
      </c>
      <c r="C55" t="s">
        <v>353</v>
      </c>
      <c r="D55">
        <v>593</v>
      </c>
      <c r="E55">
        <v>28975</v>
      </c>
      <c r="F55" s="3" t="str">
        <f t="shared" si="0"/>
        <v>insert into field values (54, 113, 'VA', 593, 28975);</v>
      </c>
      <c r="G55" s="2" t="str">
        <f t="shared" si="1"/>
        <v>insert into field values (54, 113, 'VA', 593, 28975);</v>
      </c>
    </row>
    <row r="56" spans="1:7" x14ac:dyDescent="0.35">
      <c r="A56">
        <v>55</v>
      </c>
      <c r="B56">
        <v>12</v>
      </c>
      <c r="C56" t="s">
        <v>338</v>
      </c>
      <c r="D56">
        <v>798</v>
      </c>
      <c r="E56">
        <v>27970</v>
      </c>
      <c r="F56" s="3" t="str">
        <f t="shared" si="0"/>
        <v>insert into field values (55, 12, 'NH', 798, 27970);</v>
      </c>
      <c r="G56" s="2" t="str">
        <f t="shared" si="1"/>
        <v>insert into field values (55, 12, 'NH', 798, 27970);</v>
      </c>
    </row>
    <row r="57" spans="1:7" x14ac:dyDescent="0.35">
      <c r="A57">
        <v>56</v>
      </c>
      <c r="B57">
        <v>14</v>
      </c>
      <c r="C57" t="s">
        <v>330</v>
      </c>
      <c r="D57">
        <v>3586</v>
      </c>
      <c r="E57">
        <v>25091</v>
      </c>
      <c r="F57" s="3" t="str">
        <f t="shared" si="0"/>
        <v>insert into field values (56, 14, 'MI', 3586, 25091);</v>
      </c>
      <c r="G57" s="2" t="str">
        <f t="shared" si="1"/>
        <v>insert into field values (56, 14, 'MI', 3586, 25091);</v>
      </c>
    </row>
    <row r="58" spans="1:7" x14ac:dyDescent="0.35">
      <c r="A58">
        <v>57</v>
      </c>
      <c r="B58">
        <v>120</v>
      </c>
      <c r="C58" t="s">
        <v>307</v>
      </c>
      <c r="D58">
        <v>2520</v>
      </c>
      <c r="E58">
        <v>37848</v>
      </c>
      <c r="F58" s="3" t="str">
        <f t="shared" si="0"/>
        <v>insert into field values (57, 120, 'AZ', 2520, 37848);</v>
      </c>
      <c r="G58" s="2" t="str">
        <f t="shared" si="1"/>
        <v>insert into field values (57, 120, 'AZ', 2520, 37848);</v>
      </c>
    </row>
    <row r="59" spans="1:7" x14ac:dyDescent="0.35">
      <c r="A59">
        <v>58</v>
      </c>
      <c r="B59">
        <v>19</v>
      </c>
      <c r="C59" t="s">
        <v>330</v>
      </c>
      <c r="D59">
        <v>3586</v>
      </c>
      <c r="E59">
        <v>38526</v>
      </c>
      <c r="F59" s="3" t="str">
        <f t="shared" si="0"/>
        <v>insert into field values (58, 19, 'MI', 3586, 38526);</v>
      </c>
      <c r="G59" s="2" t="str">
        <f t="shared" si="1"/>
        <v>insert into field values (58, 19, 'MI', 3586, 38526);</v>
      </c>
    </row>
    <row r="60" spans="1:7" x14ac:dyDescent="0.35">
      <c r="A60">
        <v>59</v>
      </c>
      <c r="B60">
        <v>72</v>
      </c>
      <c r="C60" t="s">
        <v>309</v>
      </c>
      <c r="D60">
        <v>2488</v>
      </c>
      <c r="E60">
        <v>46691</v>
      </c>
      <c r="F60" s="3" t="str">
        <f t="shared" si="0"/>
        <v>insert into field values (59, 72, 'CA', 2488, 46691);</v>
      </c>
      <c r="G60" s="2" t="str">
        <f t="shared" si="1"/>
        <v>insert into field values (59, 72, 'CA', 2488, 46691);</v>
      </c>
    </row>
    <row r="61" spans="1:7" x14ac:dyDescent="0.35">
      <c r="A61">
        <v>60</v>
      </c>
      <c r="B61">
        <v>78</v>
      </c>
      <c r="C61" t="s">
        <v>323</v>
      </c>
      <c r="D61">
        <v>861</v>
      </c>
      <c r="E61">
        <v>8698</v>
      </c>
      <c r="F61" s="3" t="str">
        <f t="shared" si="0"/>
        <v>insert into field values (60, 78, 'IN', 861, 8698);</v>
      </c>
      <c r="G61" s="2" t="str">
        <f t="shared" si="1"/>
        <v>insert into field values (60, 78, 'IN', 861, 8698);</v>
      </c>
    </row>
    <row r="62" spans="1:7" x14ac:dyDescent="0.35">
      <c r="A62">
        <v>61</v>
      </c>
      <c r="B62" t="s">
        <v>79</v>
      </c>
      <c r="C62" t="s">
        <v>341</v>
      </c>
      <c r="D62">
        <v>416</v>
      </c>
      <c r="E62">
        <v>31778</v>
      </c>
      <c r="F62" s="3" t="str">
        <f t="shared" si="0"/>
        <v>insert into field values (61, NULL, 'NV', 416, 31778);</v>
      </c>
      <c r="G62" s="2" t="str">
        <f t="shared" si="1"/>
        <v>insert into field values (61, NULL, 'NV', 416, 31778);</v>
      </c>
    </row>
    <row r="63" spans="1:7" x14ac:dyDescent="0.35">
      <c r="A63">
        <v>62</v>
      </c>
      <c r="B63">
        <v>107</v>
      </c>
      <c r="C63" t="s">
        <v>352</v>
      </c>
      <c r="D63">
        <v>4439</v>
      </c>
      <c r="E63">
        <v>6287</v>
      </c>
      <c r="F63" s="3" t="str">
        <f t="shared" si="0"/>
        <v>insert into field values (62, 107, 'UT', 4439, 6287);</v>
      </c>
      <c r="G63" s="2" t="str">
        <f t="shared" si="1"/>
        <v>insert into field values (62, 107, 'UT', 4439, 6287);</v>
      </c>
    </row>
    <row r="64" spans="1:7" x14ac:dyDescent="0.35">
      <c r="A64">
        <v>63</v>
      </c>
      <c r="B64">
        <v>36</v>
      </c>
      <c r="C64" t="s">
        <v>326</v>
      </c>
      <c r="D64">
        <v>4300</v>
      </c>
      <c r="E64">
        <v>9181</v>
      </c>
      <c r="F64" s="3" t="str">
        <f t="shared" si="0"/>
        <v>insert into field values (63, 36, 'LA', 4300, 9181);</v>
      </c>
      <c r="G64" s="2" t="str">
        <f t="shared" si="1"/>
        <v>insert into field values (63, 36, 'LA', 4300, 9181);</v>
      </c>
    </row>
    <row r="65" spans="1:7" x14ac:dyDescent="0.35">
      <c r="A65">
        <v>64</v>
      </c>
      <c r="B65">
        <v>120</v>
      </c>
      <c r="C65" t="s">
        <v>335</v>
      </c>
      <c r="D65">
        <v>4026</v>
      </c>
      <c r="E65">
        <v>44818</v>
      </c>
      <c r="F65" s="3" t="str">
        <f t="shared" si="0"/>
        <v>insert into field values (64, 120, 'NC', 4026, 44818);</v>
      </c>
      <c r="G65" s="2" t="str">
        <f t="shared" si="1"/>
        <v>insert into field values (64, 120, 'NC', 4026, 44818);</v>
      </c>
    </row>
    <row r="66" spans="1:7" x14ac:dyDescent="0.35">
      <c r="A66">
        <v>65</v>
      </c>
      <c r="B66">
        <v>49</v>
      </c>
      <c r="C66" t="s">
        <v>309</v>
      </c>
      <c r="D66">
        <v>2488</v>
      </c>
      <c r="E66">
        <v>39981</v>
      </c>
      <c r="F66" s="3" t="str">
        <f t="shared" si="0"/>
        <v>insert into field values (65, 49, 'CA', 2488, 39981);</v>
      </c>
      <c r="G66" s="2" t="str">
        <f t="shared" si="1"/>
        <v>insert into field values (65, 49, 'CA', 2488, 39981);</v>
      </c>
    </row>
    <row r="67" spans="1:7" x14ac:dyDescent="0.35">
      <c r="A67">
        <v>66</v>
      </c>
      <c r="B67">
        <v>36</v>
      </c>
      <c r="C67" t="s">
        <v>348</v>
      </c>
      <c r="D67">
        <v>3097</v>
      </c>
      <c r="E67">
        <v>38669</v>
      </c>
      <c r="F67" s="3" t="str">
        <f t="shared" ref="F67:F126" si="2">"insert into field values ("&amp;A67&amp;", "&amp;B67&amp;", '"&amp;C67&amp;"', "&amp;D67&amp;", "&amp;E67&amp;");"</f>
        <v>insert into field values (66, 36, 'SC', 3097, 38669);</v>
      </c>
      <c r="G67" s="2" t="str">
        <f t="shared" ref="G67:G126" si="3">SUBSTITUTE(F67, "'NULL'", "NULL")</f>
        <v>insert into field values (66, 36, 'SC', 3097, 38669);</v>
      </c>
    </row>
    <row r="68" spans="1:7" x14ac:dyDescent="0.35">
      <c r="A68">
        <v>67</v>
      </c>
      <c r="B68">
        <v>67</v>
      </c>
      <c r="C68" t="s">
        <v>355</v>
      </c>
      <c r="D68">
        <v>1641</v>
      </c>
      <c r="E68">
        <v>36448</v>
      </c>
      <c r="F68" s="3" t="str">
        <f t="shared" si="2"/>
        <v>insert into field values (67, 67, 'WA', 1641, 36448);</v>
      </c>
      <c r="G68" s="2" t="str">
        <f t="shared" si="3"/>
        <v>insert into field values (67, 67, 'WA', 1641, 36448);</v>
      </c>
    </row>
    <row r="69" spans="1:7" x14ac:dyDescent="0.35">
      <c r="A69">
        <v>68</v>
      </c>
      <c r="B69">
        <v>36</v>
      </c>
      <c r="C69" t="s">
        <v>357</v>
      </c>
      <c r="D69">
        <v>2437</v>
      </c>
      <c r="E69">
        <v>23582</v>
      </c>
      <c r="F69" s="3" t="str">
        <f t="shared" si="2"/>
        <v>insert into field values (68, 36, 'WV', 2437, 23582);</v>
      </c>
      <c r="G69" s="2" t="str">
        <f t="shared" si="3"/>
        <v>insert into field values (68, 36, 'WV', 2437, 23582);</v>
      </c>
    </row>
    <row r="70" spans="1:7" x14ac:dyDescent="0.35">
      <c r="A70">
        <v>69</v>
      </c>
      <c r="B70">
        <v>106</v>
      </c>
      <c r="C70" t="s">
        <v>315</v>
      </c>
      <c r="D70">
        <v>795</v>
      </c>
      <c r="E70">
        <v>22555</v>
      </c>
      <c r="F70" s="3" t="str">
        <f t="shared" si="2"/>
        <v>insert into field values (69, 106, 'FL', 795, 22555);</v>
      </c>
      <c r="G70" s="2" t="str">
        <f t="shared" si="3"/>
        <v>insert into field values (69, 106, 'FL', 795, 22555);</v>
      </c>
    </row>
    <row r="71" spans="1:7" x14ac:dyDescent="0.35">
      <c r="A71">
        <v>70</v>
      </c>
      <c r="B71">
        <v>14</v>
      </c>
      <c r="C71" t="s">
        <v>335</v>
      </c>
      <c r="D71">
        <v>4026</v>
      </c>
      <c r="E71">
        <v>20036</v>
      </c>
      <c r="F71" s="3" t="str">
        <f t="shared" si="2"/>
        <v>insert into field values (70, 14, 'NC', 4026, 20036);</v>
      </c>
      <c r="G71" s="2" t="str">
        <f t="shared" si="3"/>
        <v>insert into field values (70, 14, 'NC', 4026, 20036);</v>
      </c>
    </row>
    <row r="72" spans="1:7" x14ac:dyDescent="0.35">
      <c r="A72">
        <v>71</v>
      </c>
      <c r="B72">
        <v>51</v>
      </c>
      <c r="C72" t="s">
        <v>338</v>
      </c>
      <c r="D72">
        <v>798</v>
      </c>
      <c r="E72">
        <v>16909</v>
      </c>
      <c r="F72" s="3" t="str">
        <f t="shared" si="2"/>
        <v>insert into field values (71, 51, 'NH', 798, 16909);</v>
      </c>
      <c r="G72" s="2" t="str">
        <f t="shared" si="3"/>
        <v>insert into field values (71, 51, 'NH', 798, 16909);</v>
      </c>
    </row>
    <row r="73" spans="1:7" x14ac:dyDescent="0.35">
      <c r="A73">
        <v>72</v>
      </c>
      <c r="B73">
        <v>17</v>
      </c>
      <c r="C73" t="s">
        <v>356</v>
      </c>
      <c r="D73">
        <v>3758</v>
      </c>
      <c r="E73">
        <v>30806</v>
      </c>
      <c r="F73" s="3" t="str">
        <f t="shared" si="2"/>
        <v>insert into field values (72, 17, 'WI', 3758, 30806);</v>
      </c>
      <c r="G73" s="2" t="str">
        <f t="shared" si="3"/>
        <v>insert into field values (72, 17, 'WI', 3758, 30806);</v>
      </c>
    </row>
    <row r="74" spans="1:7" x14ac:dyDescent="0.35">
      <c r="A74">
        <v>73</v>
      </c>
      <c r="B74">
        <v>77</v>
      </c>
      <c r="C74" t="s">
        <v>336</v>
      </c>
      <c r="D74">
        <v>1825</v>
      </c>
      <c r="E74">
        <v>34661</v>
      </c>
      <c r="F74" s="3" t="str">
        <f t="shared" si="2"/>
        <v>insert into field values (73, 77, 'ND', 1825, 34661);</v>
      </c>
      <c r="G74" s="2" t="str">
        <f t="shared" si="3"/>
        <v>insert into field values (73, 77, 'ND', 1825, 34661);</v>
      </c>
    </row>
    <row r="75" spans="1:7" x14ac:dyDescent="0.35">
      <c r="A75">
        <v>74</v>
      </c>
      <c r="B75">
        <v>86</v>
      </c>
      <c r="C75" t="s">
        <v>340</v>
      </c>
      <c r="D75">
        <v>126</v>
      </c>
      <c r="E75">
        <v>44838</v>
      </c>
      <c r="F75" s="3" t="str">
        <f t="shared" si="2"/>
        <v>insert into field values (74, 86, 'NM', 126, 44838);</v>
      </c>
      <c r="G75" s="2" t="str">
        <f t="shared" si="3"/>
        <v>insert into field values (74, 86, 'NM', 126, 44838);</v>
      </c>
    </row>
    <row r="76" spans="1:7" x14ac:dyDescent="0.35">
      <c r="A76">
        <v>75</v>
      </c>
      <c r="B76">
        <v>22</v>
      </c>
      <c r="C76" t="s">
        <v>306</v>
      </c>
      <c r="D76">
        <v>2078</v>
      </c>
      <c r="E76">
        <v>17225</v>
      </c>
      <c r="F76" s="3" t="str">
        <f t="shared" si="2"/>
        <v>insert into field values (75, 22, 'AR', 2078, 17225);</v>
      </c>
      <c r="G76" s="2" t="str">
        <f t="shared" si="3"/>
        <v>insert into field values (75, 22, 'AR', 2078, 17225);</v>
      </c>
    </row>
    <row r="77" spans="1:7" x14ac:dyDescent="0.35">
      <c r="A77">
        <v>76</v>
      </c>
      <c r="B77">
        <v>77</v>
      </c>
      <c r="C77" t="s">
        <v>349</v>
      </c>
      <c r="D77">
        <v>438</v>
      </c>
      <c r="E77">
        <v>32899</v>
      </c>
      <c r="F77" s="3" t="str">
        <f t="shared" si="2"/>
        <v>insert into field values (76, 77, 'SD', 438, 32899);</v>
      </c>
      <c r="G77" s="2" t="str">
        <f t="shared" si="3"/>
        <v>insert into field values (76, 77, 'SD', 438, 32899);</v>
      </c>
    </row>
    <row r="78" spans="1:7" x14ac:dyDescent="0.35">
      <c r="A78">
        <v>77</v>
      </c>
      <c r="B78">
        <v>125</v>
      </c>
      <c r="C78" t="s">
        <v>307</v>
      </c>
      <c r="D78">
        <v>2520</v>
      </c>
      <c r="E78">
        <v>46734</v>
      </c>
      <c r="F78" s="3" t="str">
        <f t="shared" si="2"/>
        <v>insert into field values (77, 125, 'AZ', 2520, 46734);</v>
      </c>
      <c r="G78" s="2" t="str">
        <f t="shared" si="3"/>
        <v>insert into field values (77, 125, 'AZ', 2520, 46734);</v>
      </c>
    </row>
    <row r="79" spans="1:7" x14ac:dyDescent="0.35">
      <c r="A79">
        <v>78</v>
      </c>
      <c r="B79">
        <v>8</v>
      </c>
      <c r="C79" t="s">
        <v>350</v>
      </c>
      <c r="D79">
        <v>389</v>
      </c>
      <c r="E79">
        <v>40396</v>
      </c>
      <c r="F79" s="3" t="str">
        <f t="shared" si="2"/>
        <v>insert into field values (78, 8, 'TN', 389, 40396);</v>
      </c>
      <c r="G79" s="2" t="str">
        <f t="shared" si="3"/>
        <v>insert into field values (78, 8, 'TN', 389, 40396);</v>
      </c>
    </row>
    <row r="80" spans="1:7" x14ac:dyDescent="0.35">
      <c r="A80">
        <v>79</v>
      </c>
      <c r="B80">
        <v>106</v>
      </c>
      <c r="C80" t="s">
        <v>347</v>
      </c>
      <c r="D80">
        <v>3772</v>
      </c>
      <c r="E80">
        <v>29854</v>
      </c>
      <c r="F80" s="3" t="str">
        <f t="shared" si="2"/>
        <v>insert into field values (79, 106, 'RI', 3772, 29854);</v>
      </c>
      <c r="G80" s="2" t="str">
        <f t="shared" si="3"/>
        <v>insert into field values (79, 106, 'RI', 3772, 29854);</v>
      </c>
    </row>
    <row r="81" spans="1:7" x14ac:dyDescent="0.35">
      <c r="A81">
        <v>80</v>
      </c>
      <c r="B81">
        <v>81</v>
      </c>
      <c r="C81" t="s">
        <v>325</v>
      </c>
      <c r="D81">
        <v>4222</v>
      </c>
      <c r="E81">
        <v>28990</v>
      </c>
      <c r="F81" s="3" t="str">
        <f t="shared" si="2"/>
        <v>insert into field values (80, 81, 'KY', 4222, 28990);</v>
      </c>
      <c r="G81" s="2" t="str">
        <f t="shared" si="3"/>
        <v>insert into field values (80, 81, 'KY', 4222, 28990);</v>
      </c>
    </row>
    <row r="82" spans="1:7" x14ac:dyDescent="0.35">
      <c r="A82">
        <v>81</v>
      </c>
      <c r="B82">
        <v>122</v>
      </c>
      <c r="C82" t="s">
        <v>348</v>
      </c>
      <c r="D82">
        <v>3097</v>
      </c>
      <c r="E82">
        <v>47852</v>
      </c>
      <c r="F82" s="3" t="str">
        <f t="shared" si="2"/>
        <v>insert into field values (81, 122, 'SC', 3097, 47852);</v>
      </c>
      <c r="G82" s="2" t="str">
        <f t="shared" si="3"/>
        <v>insert into field values (81, 122, 'SC', 3097, 47852);</v>
      </c>
    </row>
    <row r="83" spans="1:7" x14ac:dyDescent="0.35">
      <c r="A83">
        <v>82</v>
      </c>
      <c r="B83">
        <v>65</v>
      </c>
      <c r="C83" t="s">
        <v>315</v>
      </c>
      <c r="D83">
        <v>795</v>
      </c>
      <c r="E83">
        <v>35258</v>
      </c>
      <c r="F83" s="3" t="str">
        <f t="shared" si="2"/>
        <v>insert into field values (82, 65, 'FL', 795, 35258);</v>
      </c>
      <c r="G83" s="2" t="str">
        <f t="shared" si="3"/>
        <v>insert into field values (82, 65, 'FL', 795, 35258);</v>
      </c>
    </row>
    <row r="84" spans="1:7" x14ac:dyDescent="0.35">
      <c r="A84">
        <v>83</v>
      </c>
      <c r="B84">
        <v>102</v>
      </c>
      <c r="C84" t="s">
        <v>338</v>
      </c>
      <c r="D84">
        <v>798</v>
      </c>
      <c r="E84">
        <v>30687</v>
      </c>
      <c r="F84" s="3" t="str">
        <f t="shared" si="2"/>
        <v>insert into field values (83, 102, 'NH', 798, 30687);</v>
      </c>
      <c r="G84" s="2" t="str">
        <f t="shared" si="3"/>
        <v>insert into field values (83, 102, 'NH', 798, 30687);</v>
      </c>
    </row>
    <row r="85" spans="1:7" x14ac:dyDescent="0.35">
      <c r="A85">
        <v>84</v>
      </c>
      <c r="B85">
        <v>72</v>
      </c>
      <c r="C85" t="s">
        <v>339</v>
      </c>
      <c r="D85">
        <v>4212</v>
      </c>
      <c r="E85">
        <v>49643</v>
      </c>
      <c r="F85" s="3" t="str">
        <f t="shared" si="2"/>
        <v>insert into field values (84, 72, 'NJ', 4212, 49643);</v>
      </c>
      <c r="G85" s="2" t="str">
        <f t="shared" si="3"/>
        <v>insert into field values (84, 72, 'NJ', 4212, 49643);</v>
      </c>
    </row>
    <row r="86" spans="1:7" x14ac:dyDescent="0.35">
      <c r="A86">
        <v>85</v>
      </c>
      <c r="B86">
        <v>85</v>
      </c>
      <c r="C86" t="s">
        <v>306</v>
      </c>
      <c r="D86">
        <v>2078</v>
      </c>
      <c r="E86">
        <v>34589</v>
      </c>
      <c r="F86" s="3" t="str">
        <f t="shared" si="2"/>
        <v>insert into field values (85, 85, 'AR', 2078, 34589);</v>
      </c>
      <c r="G86" s="2" t="str">
        <f t="shared" si="3"/>
        <v>insert into field values (85, 85, 'AR', 2078, 34589);</v>
      </c>
    </row>
    <row r="87" spans="1:7" x14ac:dyDescent="0.35">
      <c r="A87">
        <v>86</v>
      </c>
      <c r="B87">
        <v>38</v>
      </c>
      <c r="C87" t="s">
        <v>324</v>
      </c>
      <c r="D87">
        <v>4487</v>
      </c>
      <c r="E87">
        <v>48389</v>
      </c>
      <c r="F87" s="3" t="str">
        <f t="shared" si="2"/>
        <v>insert into field values (86, 38, 'KS', 4487, 48389);</v>
      </c>
      <c r="G87" s="2" t="str">
        <f t="shared" si="3"/>
        <v>insert into field values (86, 38, 'KS', 4487, 48389);</v>
      </c>
    </row>
    <row r="88" spans="1:7" x14ac:dyDescent="0.35">
      <c r="A88">
        <v>87</v>
      </c>
      <c r="B88">
        <v>59</v>
      </c>
      <c r="C88" t="s">
        <v>354</v>
      </c>
      <c r="D88">
        <v>212</v>
      </c>
      <c r="E88">
        <v>27074</v>
      </c>
      <c r="F88" s="3" t="str">
        <f t="shared" si="2"/>
        <v>insert into field values (87, 59, 'VT', 212, 27074);</v>
      </c>
      <c r="G88" s="2" t="str">
        <f t="shared" si="3"/>
        <v>insert into field values (87, 59, 'VT', 212, 27074);</v>
      </c>
    </row>
    <row r="89" spans="1:7" x14ac:dyDescent="0.35">
      <c r="A89">
        <v>88</v>
      </c>
      <c r="B89">
        <v>28</v>
      </c>
      <c r="C89" t="s">
        <v>318</v>
      </c>
      <c r="D89">
        <v>38</v>
      </c>
      <c r="E89">
        <v>32001</v>
      </c>
      <c r="F89" s="3" t="str">
        <f t="shared" si="2"/>
        <v>insert into field values (88, 28, 'HI', 38, 32001);</v>
      </c>
      <c r="G89" s="2" t="str">
        <f t="shared" si="3"/>
        <v>insert into field values (88, 28, 'HI', 38, 32001);</v>
      </c>
    </row>
    <row r="90" spans="1:7" x14ac:dyDescent="0.35">
      <c r="A90">
        <v>89</v>
      </c>
      <c r="B90">
        <v>29</v>
      </c>
      <c r="C90" t="s">
        <v>331</v>
      </c>
      <c r="D90">
        <v>4927</v>
      </c>
      <c r="E90">
        <v>23767</v>
      </c>
      <c r="F90" s="3" t="str">
        <f t="shared" si="2"/>
        <v>insert into field values (89, 29, 'MN', 4927, 23767);</v>
      </c>
      <c r="G90" s="2" t="str">
        <f t="shared" si="3"/>
        <v>insert into field values (89, 29, 'MN', 4927, 23767);</v>
      </c>
    </row>
    <row r="91" spans="1:7" x14ac:dyDescent="0.35">
      <c r="A91">
        <v>90</v>
      </c>
      <c r="B91">
        <v>56</v>
      </c>
      <c r="C91" t="s">
        <v>354</v>
      </c>
      <c r="D91">
        <v>212</v>
      </c>
      <c r="E91">
        <v>32705</v>
      </c>
      <c r="F91" s="3" t="str">
        <f t="shared" si="2"/>
        <v>insert into field values (90, 56, 'VT', 212, 32705);</v>
      </c>
      <c r="G91" s="2" t="str">
        <f t="shared" si="3"/>
        <v>insert into field values (90, 56, 'VT', 212, 32705);</v>
      </c>
    </row>
    <row r="92" spans="1:7" x14ac:dyDescent="0.35">
      <c r="A92">
        <v>91</v>
      </c>
      <c r="B92">
        <v>3</v>
      </c>
      <c r="C92" t="s">
        <v>347</v>
      </c>
      <c r="D92">
        <v>3772</v>
      </c>
      <c r="E92">
        <v>32878</v>
      </c>
      <c r="F92" s="3" t="str">
        <f t="shared" si="2"/>
        <v>insert into field values (91, 3, 'RI', 3772, 32878);</v>
      </c>
      <c r="G92" s="2" t="str">
        <f t="shared" si="3"/>
        <v>insert into field values (91, 3, 'RI', 3772, 32878);</v>
      </c>
    </row>
    <row r="93" spans="1:7" x14ac:dyDescent="0.35">
      <c r="A93">
        <v>92</v>
      </c>
      <c r="B93">
        <v>103</v>
      </c>
      <c r="C93" t="s">
        <v>320</v>
      </c>
      <c r="D93">
        <v>190</v>
      </c>
      <c r="E93">
        <v>19344</v>
      </c>
      <c r="F93" s="3" t="str">
        <f t="shared" si="2"/>
        <v>insert into field values (92, 103, 'ID', 190, 19344);</v>
      </c>
      <c r="G93" s="2" t="str">
        <f t="shared" si="3"/>
        <v>insert into field values (92, 103, 'ID', 190, 19344);</v>
      </c>
    </row>
    <row r="94" spans="1:7" x14ac:dyDescent="0.35">
      <c r="A94">
        <v>93</v>
      </c>
      <c r="B94">
        <v>115</v>
      </c>
      <c r="C94" t="s">
        <v>341</v>
      </c>
      <c r="D94">
        <v>416</v>
      </c>
      <c r="E94">
        <v>37787</v>
      </c>
      <c r="F94" s="3" t="str">
        <f t="shared" si="2"/>
        <v>insert into field values (93, 115, 'NV', 416, 37787);</v>
      </c>
      <c r="G94" s="2" t="str">
        <f t="shared" si="3"/>
        <v>insert into field values (93, 115, 'NV', 416, 37787);</v>
      </c>
    </row>
    <row r="95" spans="1:7" x14ac:dyDescent="0.35">
      <c r="A95">
        <v>94</v>
      </c>
      <c r="B95">
        <v>64</v>
      </c>
      <c r="C95" t="s">
        <v>328</v>
      </c>
      <c r="D95">
        <v>3306</v>
      </c>
      <c r="E95">
        <v>43020</v>
      </c>
      <c r="F95" s="3" t="str">
        <f t="shared" si="2"/>
        <v>insert into field values (94, 64, 'MD', 3306, 43020);</v>
      </c>
      <c r="G95" s="2" t="str">
        <f t="shared" si="3"/>
        <v>insert into field values (94, 64, 'MD', 3306, 43020);</v>
      </c>
    </row>
    <row r="96" spans="1:7" x14ac:dyDescent="0.35">
      <c r="A96">
        <v>95</v>
      </c>
      <c r="B96">
        <v>125</v>
      </c>
      <c r="C96" t="s">
        <v>330</v>
      </c>
      <c r="D96">
        <v>3586</v>
      </c>
      <c r="E96">
        <v>41049</v>
      </c>
      <c r="F96" s="3" t="str">
        <f t="shared" si="2"/>
        <v>insert into field values (95, 125, 'MI', 3586, 41049);</v>
      </c>
      <c r="G96" s="2" t="str">
        <f t="shared" si="3"/>
        <v>insert into field values (95, 125, 'MI', 3586, 41049);</v>
      </c>
    </row>
    <row r="97" spans="1:7" x14ac:dyDescent="0.35">
      <c r="A97">
        <v>96</v>
      </c>
      <c r="B97">
        <v>82</v>
      </c>
      <c r="C97" t="s">
        <v>315</v>
      </c>
      <c r="D97">
        <v>795</v>
      </c>
      <c r="E97">
        <v>26479</v>
      </c>
      <c r="F97" s="3" t="str">
        <f t="shared" si="2"/>
        <v>insert into field values (96, 82, 'FL', 795, 26479);</v>
      </c>
      <c r="G97" s="2" t="str">
        <f t="shared" si="3"/>
        <v>insert into field values (96, 82, 'FL', 795, 26479);</v>
      </c>
    </row>
    <row r="98" spans="1:7" x14ac:dyDescent="0.35">
      <c r="A98">
        <v>97</v>
      </c>
      <c r="B98">
        <v>121</v>
      </c>
      <c r="C98" t="s">
        <v>355</v>
      </c>
      <c r="D98">
        <v>1641</v>
      </c>
      <c r="E98">
        <v>14481</v>
      </c>
      <c r="F98" s="3" t="str">
        <f t="shared" si="2"/>
        <v>insert into field values (97, 121, 'WA', 1641, 14481);</v>
      </c>
      <c r="G98" s="2" t="str">
        <f t="shared" si="3"/>
        <v>insert into field values (97, 121, 'WA', 1641, 14481);</v>
      </c>
    </row>
    <row r="99" spans="1:7" x14ac:dyDescent="0.35">
      <c r="A99">
        <v>98</v>
      </c>
      <c r="B99">
        <v>97</v>
      </c>
      <c r="C99" t="s">
        <v>345</v>
      </c>
      <c r="D99">
        <v>3264</v>
      </c>
      <c r="E99">
        <v>48070</v>
      </c>
      <c r="F99" s="3" t="str">
        <f t="shared" si="2"/>
        <v>insert into field values (98, 97, 'OR', 3264, 48070);</v>
      </c>
      <c r="G99" s="2" t="str">
        <f t="shared" si="3"/>
        <v>insert into field values (98, 97, 'OR', 3264, 48070);</v>
      </c>
    </row>
    <row r="100" spans="1:7" x14ac:dyDescent="0.35">
      <c r="A100">
        <v>99</v>
      </c>
      <c r="B100">
        <v>53</v>
      </c>
      <c r="C100" t="s">
        <v>329</v>
      </c>
      <c r="D100">
        <v>746</v>
      </c>
      <c r="E100">
        <v>19344</v>
      </c>
      <c r="F100" s="3" t="str">
        <f t="shared" si="2"/>
        <v>insert into field values (99, 53, 'ME', 746, 19344);</v>
      </c>
      <c r="G100" s="2" t="str">
        <f t="shared" si="3"/>
        <v>insert into field values (99, 53, 'ME', 746, 19344);</v>
      </c>
    </row>
    <row r="101" spans="1:7" x14ac:dyDescent="0.35">
      <c r="A101">
        <v>100</v>
      </c>
      <c r="B101">
        <v>111</v>
      </c>
      <c r="C101" t="s">
        <v>315</v>
      </c>
      <c r="D101">
        <v>795</v>
      </c>
      <c r="E101">
        <v>40944</v>
      </c>
      <c r="F101" s="3" t="str">
        <f t="shared" si="2"/>
        <v>insert into field values (100, 111, 'FL', 795, 40944);</v>
      </c>
      <c r="G101" s="2" t="str">
        <f t="shared" si="3"/>
        <v>insert into field values (100, 111, 'FL', 795, 40944);</v>
      </c>
    </row>
    <row r="102" spans="1:7" x14ac:dyDescent="0.35">
      <c r="A102">
        <v>101</v>
      </c>
      <c r="B102">
        <v>32</v>
      </c>
      <c r="C102" t="s">
        <v>340</v>
      </c>
      <c r="D102">
        <v>126</v>
      </c>
      <c r="E102">
        <v>524</v>
      </c>
      <c r="F102" s="3" t="str">
        <f t="shared" si="2"/>
        <v>insert into field values (101, 32, 'NM', 126, 524);</v>
      </c>
      <c r="G102" s="2" t="str">
        <f t="shared" si="3"/>
        <v>insert into field values (101, 32, 'NM', 126, 524);</v>
      </c>
    </row>
    <row r="103" spans="1:7" x14ac:dyDescent="0.35">
      <c r="A103">
        <v>102</v>
      </c>
      <c r="B103">
        <v>113</v>
      </c>
      <c r="C103" t="s">
        <v>306</v>
      </c>
      <c r="D103">
        <v>2078</v>
      </c>
      <c r="E103">
        <v>46643</v>
      </c>
      <c r="F103" s="3" t="str">
        <f t="shared" si="2"/>
        <v>insert into field values (102, 113, 'AR', 2078, 46643);</v>
      </c>
      <c r="G103" s="2" t="str">
        <f t="shared" si="3"/>
        <v>insert into field values (102, 113, 'AR', 2078, 46643);</v>
      </c>
    </row>
    <row r="104" spans="1:7" x14ac:dyDescent="0.35">
      <c r="A104">
        <v>103</v>
      </c>
      <c r="B104">
        <v>111</v>
      </c>
      <c r="C104" t="s">
        <v>324</v>
      </c>
      <c r="D104">
        <v>4487</v>
      </c>
      <c r="E104">
        <v>4366</v>
      </c>
      <c r="F104" s="3" t="str">
        <f t="shared" si="2"/>
        <v>insert into field values (103, 111, 'KS', 4487, 4366);</v>
      </c>
      <c r="G104" s="2" t="str">
        <f t="shared" si="3"/>
        <v>insert into field values (103, 111, 'KS', 4487, 4366);</v>
      </c>
    </row>
    <row r="105" spans="1:7" x14ac:dyDescent="0.35">
      <c r="A105">
        <v>104</v>
      </c>
      <c r="B105">
        <v>99</v>
      </c>
      <c r="C105" t="s">
        <v>349</v>
      </c>
      <c r="D105">
        <v>438</v>
      </c>
      <c r="E105">
        <v>13805</v>
      </c>
      <c r="F105" s="3" t="str">
        <f t="shared" si="2"/>
        <v>insert into field values (104, 99, 'SD', 438, 13805);</v>
      </c>
      <c r="G105" s="2" t="str">
        <f t="shared" si="3"/>
        <v>insert into field values (104, 99, 'SD', 438, 13805);</v>
      </c>
    </row>
    <row r="106" spans="1:7" x14ac:dyDescent="0.35">
      <c r="A106">
        <v>105</v>
      </c>
      <c r="B106">
        <v>45</v>
      </c>
      <c r="C106" t="s">
        <v>353</v>
      </c>
      <c r="D106">
        <v>593</v>
      </c>
      <c r="E106">
        <v>25494</v>
      </c>
      <c r="F106" s="3" t="str">
        <f t="shared" si="2"/>
        <v>insert into field values (105, 45, 'VA', 593, 25494);</v>
      </c>
      <c r="G106" s="2" t="str">
        <f t="shared" si="3"/>
        <v>insert into field values (105, 45, 'VA', 593, 25494);</v>
      </c>
    </row>
    <row r="107" spans="1:7" x14ac:dyDescent="0.35">
      <c r="A107">
        <v>106</v>
      </c>
      <c r="B107">
        <v>5</v>
      </c>
      <c r="C107" t="s">
        <v>343</v>
      </c>
      <c r="D107">
        <v>1099</v>
      </c>
      <c r="E107">
        <v>21126</v>
      </c>
      <c r="F107" s="3" t="str">
        <f t="shared" si="2"/>
        <v>insert into field values (106, 5, 'OH', 1099, 21126);</v>
      </c>
      <c r="G107" s="2" t="str">
        <f t="shared" si="3"/>
        <v>insert into field values (106, 5, 'OH', 1099, 21126);</v>
      </c>
    </row>
    <row r="108" spans="1:7" x14ac:dyDescent="0.35">
      <c r="A108">
        <v>107</v>
      </c>
      <c r="B108">
        <v>16</v>
      </c>
      <c r="C108" t="s">
        <v>307</v>
      </c>
      <c r="D108">
        <v>2520</v>
      </c>
      <c r="E108">
        <v>15847</v>
      </c>
      <c r="F108" s="3" t="str">
        <f t="shared" si="2"/>
        <v>insert into field values (107, 16, 'AZ', 2520, 15847);</v>
      </c>
      <c r="G108" s="2" t="str">
        <f t="shared" si="3"/>
        <v>insert into field values (107, 16, 'AZ', 2520, 15847);</v>
      </c>
    </row>
    <row r="109" spans="1:7" x14ac:dyDescent="0.35">
      <c r="A109">
        <v>108</v>
      </c>
      <c r="B109">
        <v>63</v>
      </c>
      <c r="C109" t="s">
        <v>330</v>
      </c>
      <c r="D109">
        <v>3586</v>
      </c>
      <c r="E109">
        <v>3898</v>
      </c>
      <c r="F109" s="3" t="str">
        <f t="shared" si="2"/>
        <v>insert into field values (108, 63, 'MI', 3586, 3898);</v>
      </c>
      <c r="G109" s="2" t="str">
        <f t="shared" si="3"/>
        <v>insert into field values (108, 63, 'MI', 3586, 3898);</v>
      </c>
    </row>
    <row r="110" spans="1:7" x14ac:dyDescent="0.35">
      <c r="A110">
        <v>109</v>
      </c>
      <c r="B110">
        <v>33</v>
      </c>
      <c r="C110" t="s">
        <v>351</v>
      </c>
      <c r="D110">
        <v>841</v>
      </c>
      <c r="E110">
        <v>11750</v>
      </c>
      <c r="F110" s="3" t="str">
        <f t="shared" si="2"/>
        <v>insert into field values (109, 33, 'TX', 841, 11750);</v>
      </c>
      <c r="G110" s="2" t="str">
        <f t="shared" si="3"/>
        <v>insert into field values (109, 33, 'TX', 841, 11750);</v>
      </c>
    </row>
    <row r="111" spans="1:7" x14ac:dyDescent="0.35">
      <c r="A111">
        <v>110</v>
      </c>
      <c r="B111">
        <v>31</v>
      </c>
      <c r="C111" t="s">
        <v>348</v>
      </c>
      <c r="D111">
        <v>3097</v>
      </c>
      <c r="E111">
        <v>45072</v>
      </c>
      <c r="F111" s="3" t="str">
        <f t="shared" si="2"/>
        <v>insert into field values (110, 31, 'SC', 3097, 45072);</v>
      </c>
      <c r="G111" s="2" t="str">
        <f t="shared" si="3"/>
        <v>insert into field values (110, 31, 'SC', 3097, 45072);</v>
      </c>
    </row>
    <row r="112" spans="1:7" x14ac:dyDescent="0.35">
      <c r="A112">
        <v>111</v>
      </c>
      <c r="B112">
        <v>17</v>
      </c>
      <c r="C112" t="s">
        <v>326</v>
      </c>
      <c r="D112">
        <v>4300</v>
      </c>
      <c r="E112">
        <v>28357</v>
      </c>
      <c r="F112" s="3" t="str">
        <f t="shared" si="2"/>
        <v>insert into field values (111, 17, 'LA', 4300, 28357);</v>
      </c>
      <c r="G112" s="2" t="str">
        <f t="shared" si="3"/>
        <v>insert into field values (111, 17, 'LA', 4300, 28357);</v>
      </c>
    </row>
    <row r="113" spans="1:7" x14ac:dyDescent="0.35">
      <c r="A113">
        <v>112</v>
      </c>
      <c r="B113">
        <v>70</v>
      </c>
      <c r="C113" t="s">
        <v>320</v>
      </c>
      <c r="D113">
        <v>190</v>
      </c>
      <c r="E113">
        <v>47453</v>
      </c>
      <c r="F113" s="3" t="str">
        <f t="shared" si="2"/>
        <v>insert into field values (112, 70, 'ID', 190, 47453);</v>
      </c>
      <c r="G113" s="2" t="str">
        <f t="shared" si="3"/>
        <v>insert into field values (112, 70, 'ID', 190, 47453);</v>
      </c>
    </row>
    <row r="114" spans="1:7" x14ac:dyDescent="0.35">
      <c r="A114">
        <v>113</v>
      </c>
      <c r="B114">
        <v>43</v>
      </c>
      <c r="C114" t="s">
        <v>342</v>
      </c>
      <c r="D114">
        <v>4996</v>
      </c>
      <c r="E114">
        <v>8671</v>
      </c>
      <c r="F114" s="3" t="str">
        <f t="shared" si="2"/>
        <v>insert into field values (113, 43, 'NY', 4996, 8671);</v>
      </c>
      <c r="G114" s="2" t="str">
        <f t="shared" si="3"/>
        <v>insert into field values (113, 43, 'NY', 4996, 8671);</v>
      </c>
    </row>
    <row r="115" spans="1:7" x14ac:dyDescent="0.35">
      <c r="A115">
        <v>114</v>
      </c>
      <c r="B115">
        <v>13</v>
      </c>
      <c r="C115" t="s">
        <v>346</v>
      </c>
      <c r="D115">
        <v>3862</v>
      </c>
      <c r="E115">
        <v>17700</v>
      </c>
      <c r="F115" s="3" t="str">
        <f t="shared" si="2"/>
        <v>insert into field values (114, 13, 'PA', 3862, 17700);</v>
      </c>
      <c r="G115" s="2" t="str">
        <f t="shared" si="3"/>
        <v>insert into field values (114, 13, 'PA', 3862, 17700);</v>
      </c>
    </row>
    <row r="116" spans="1:7" x14ac:dyDescent="0.35">
      <c r="A116">
        <v>115</v>
      </c>
      <c r="B116">
        <v>89</v>
      </c>
      <c r="C116" t="s">
        <v>334</v>
      </c>
      <c r="D116">
        <v>1775</v>
      </c>
      <c r="E116">
        <v>10846</v>
      </c>
      <c r="F116" s="3" t="str">
        <f t="shared" si="2"/>
        <v>insert into field values (115, 89, 'MT', 1775, 10846);</v>
      </c>
      <c r="G116" s="2" t="str">
        <f t="shared" si="3"/>
        <v>insert into field values (115, 89, 'MT', 1775, 10846);</v>
      </c>
    </row>
    <row r="117" spans="1:7" x14ac:dyDescent="0.35">
      <c r="A117">
        <v>116</v>
      </c>
      <c r="B117">
        <v>82</v>
      </c>
      <c r="C117" t="s">
        <v>333</v>
      </c>
      <c r="D117">
        <v>2210</v>
      </c>
      <c r="E117">
        <v>46520</v>
      </c>
      <c r="F117" s="3" t="str">
        <f t="shared" si="2"/>
        <v>insert into field values (116, 82, 'MS', 2210, 46520);</v>
      </c>
      <c r="G117" s="2" t="str">
        <f t="shared" si="3"/>
        <v>insert into field values (116, 82, 'MS', 2210, 46520);</v>
      </c>
    </row>
    <row r="118" spans="1:7" x14ac:dyDescent="0.35">
      <c r="A118">
        <v>117</v>
      </c>
      <c r="B118">
        <v>34</v>
      </c>
      <c r="C118" t="s">
        <v>323</v>
      </c>
      <c r="D118">
        <v>861</v>
      </c>
      <c r="E118">
        <v>25601</v>
      </c>
      <c r="F118" s="3" t="str">
        <f t="shared" si="2"/>
        <v>insert into field values (117, 34, 'IN', 861, 25601);</v>
      </c>
      <c r="G118" s="2" t="str">
        <f t="shared" si="3"/>
        <v>insert into field values (117, 34, 'IN', 861, 25601);</v>
      </c>
    </row>
    <row r="119" spans="1:7" x14ac:dyDescent="0.35">
      <c r="A119">
        <v>118</v>
      </c>
      <c r="B119">
        <v>25</v>
      </c>
      <c r="C119" t="s">
        <v>345</v>
      </c>
      <c r="D119">
        <v>3264</v>
      </c>
      <c r="E119">
        <v>9538</v>
      </c>
      <c r="F119" s="3" t="str">
        <f t="shared" si="2"/>
        <v>insert into field values (118, 25, 'OR', 3264, 9538);</v>
      </c>
      <c r="G119" s="2" t="str">
        <f t="shared" si="3"/>
        <v>insert into field values (118, 25, 'OR', 3264, 9538);</v>
      </c>
    </row>
    <row r="120" spans="1:7" x14ac:dyDescent="0.35">
      <c r="A120">
        <v>119</v>
      </c>
      <c r="B120">
        <v>62</v>
      </c>
      <c r="C120" t="s">
        <v>333</v>
      </c>
      <c r="D120">
        <v>2210</v>
      </c>
      <c r="E120">
        <v>10228</v>
      </c>
      <c r="F120" s="3" t="str">
        <f t="shared" si="2"/>
        <v>insert into field values (119, 62, 'MS', 2210, 10228);</v>
      </c>
      <c r="G120" s="2" t="str">
        <f t="shared" si="3"/>
        <v>insert into field values (119, 62, 'MS', 2210, 10228);</v>
      </c>
    </row>
    <row r="121" spans="1:7" x14ac:dyDescent="0.35">
      <c r="A121">
        <v>120</v>
      </c>
      <c r="B121">
        <v>40</v>
      </c>
      <c r="C121" t="s">
        <v>348</v>
      </c>
      <c r="D121">
        <v>3097</v>
      </c>
      <c r="E121">
        <v>41593</v>
      </c>
      <c r="F121" s="3" t="str">
        <f t="shared" si="2"/>
        <v>insert into field values (120, 40, 'SC', 3097, 41593);</v>
      </c>
      <c r="G121" s="2" t="str">
        <f t="shared" si="3"/>
        <v>insert into field values (120, 40, 'SC', 3097, 41593);</v>
      </c>
    </row>
    <row r="122" spans="1:7" x14ac:dyDescent="0.35">
      <c r="A122">
        <v>121</v>
      </c>
      <c r="B122">
        <v>31</v>
      </c>
      <c r="C122" t="s">
        <v>352</v>
      </c>
      <c r="D122">
        <v>4439</v>
      </c>
      <c r="E122">
        <v>11594</v>
      </c>
      <c r="F122" s="3" t="str">
        <f t="shared" si="2"/>
        <v>insert into field values (121, 31, 'UT', 4439, 11594);</v>
      </c>
      <c r="G122" s="2" t="str">
        <f t="shared" si="3"/>
        <v>insert into field values (121, 31, 'UT', 4439, 11594);</v>
      </c>
    </row>
    <row r="123" spans="1:7" x14ac:dyDescent="0.35">
      <c r="A123">
        <v>122</v>
      </c>
      <c r="B123">
        <v>77</v>
      </c>
      <c r="C123" t="s">
        <v>345</v>
      </c>
      <c r="D123">
        <v>3264</v>
      </c>
      <c r="E123">
        <v>4446</v>
      </c>
      <c r="F123" s="3" t="str">
        <f t="shared" si="2"/>
        <v>insert into field values (122, 77, 'OR', 3264, 4446);</v>
      </c>
      <c r="G123" s="2" t="str">
        <f t="shared" si="3"/>
        <v>insert into field values (122, 77, 'OR', 3264, 4446);</v>
      </c>
    </row>
    <row r="124" spans="1:7" x14ac:dyDescent="0.35">
      <c r="A124">
        <v>123</v>
      </c>
      <c r="B124" t="s">
        <v>79</v>
      </c>
      <c r="C124" t="s">
        <v>335</v>
      </c>
      <c r="D124">
        <v>4026</v>
      </c>
      <c r="E124">
        <v>49815</v>
      </c>
      <c r="F124" s="3" t="str">
        <f t="shared" si="2"/>
        <v>insert into field values (123, NULL, 'NC', 4026, 49815);</v>
      </c>
      <c r="G124" s="2" t="str">
        <f t="shared" si="3"/>
        <v>insert into field values (123, NULL, 'NC', 4026, 49815);</v>
      </c>
    </row>
    <row r="125" spans="1:7" x14ac:dyDescent="0.35">
      <c r="A125">
        <v>124</v>
      </c>
      <c r="B125">
        <v>121</v>
      </c>
      <c r="C125" t="s">
        <v>322</v>
      </c>
      <c r="D125">
        <v>1563</v>
      </c>
      <c r="E125">
        <v>39850</v>
      </c>
      <c r="F125" s="3" t="str">
        <f t="shared" si="2"/>
        <v>insert into field values (124, 121, 'IL', 1563, 39850);</v>
      </c>
      <c r="G125" s="2" t="str">
        <f t="shared" si="3"/>
        <v>insert into field values (124, 121, 'IL', 1563, 39850);</v>
      </c>
    </row>
    <row r="126" spans="1:7" x14ac:dyDescent="0.35">
      <c r="A126">
        <v>125</v>
      </c>
      <c r="B126">
        <v>97</v>
      </c>
      <c r="C126" t="s">
        <v>346</v>
      </c>
      <c r="D126">
        <v>3862</v>
      </c>
      <c r="E126">
        <v>37159</v>
      </c>
      <c r="F126" s="3" t="str">
        <f t="shared" si="2"/>
        <v>insert into field values (125, 97, 'PA', 3862, 37159);</v>
      </c>
      <c r="G126" s="2" t="str">
        <f t="shared" si="3"/>
        <v>insert into field values (125, 97, 'PA', 3862, 37159);</v>
      </c>
    </row>
    <row r="127" spans="1:7" x14ac:dyDescent="0.35">
      <c r="A127" t="s">
        <v>563</v>
      </c>
      <c r="B127" t="s">
        <v>561</v>
      </c>
      <c r="C127" t="s">
        <v>563</v>
      </c>
      <c r="D127" t="s">
        <v>563</v>
      </c>
      <c r="E127" t="s">
        <v>561</v>
      </c>
      <c r="G127" t="s">
        <v>583</v>
      </c>
    </row>
    <row r="129" spans="1:5" x14ac:dyDescent="0.35">
      <c r="A129" t="s">
        <v>581</v>
      </c>
      <c r="B129" t="s">
        <v>581</v>
      </c>
      <c r="C129" t="s">
        <v>580</v>
      </c>
      <c r="D129" t="s">
        <v>581</v>
      </c>
      <c r="E129" t="s">
        <v>581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175E-AC4D-43B8-A44F-2E1FDA058C11}">
  <dimension ref="A1:K57"/>
  <sheetViews>
    <sheetView topLeftCell="J1" workbookViewId="0">
      <selection activeCell="K20" sqref="K20"/>
    </sheetView>
  </sheetViews>
  <sheetFormatPr defaultRowHeight="14.5" x14ac:dyDescent="0.35"/>
  <cols>
    <col min="1" max="1" width="22.453125" bestFit="1" customWidth="1"/>
    <col min="2" max="2" width="18.08984375" bestFit="1" customWidth="1"/>
    <col min="3" max="3" width="22.453125" bestFit="1" customWidth="1"/>
    <col min="4" max="4" width="28.36328125" bestFit="1" customWidth="1"/>
    <col min="5" max="5" width="22.453125" bestFit="1" customWidth="1"/>
    <col min="6" max="6" width="22.453125" customWidth="1"/>
    <col min="7" max="7" width="75.453125" bestFit="1" customWidth="1"/>
    <col min="8" max="8" width="75.453125" customWidth="1"/>
    <col min="9" max="9" width="55.7265625" bestFit="1" customWidth="1"/>
    <col min="10" max="10" width="73.1796875" bestFit="1" customWidth="1"/>
    <col min="11" max="11" width="114.1796875" bestFit="1" customWidth="1"/>
  </cols>
  <sheetData>
    <row r="1" spans="1:11" x14ac:dyDescent="0.35">
      <c r="A1" t="s">
        <v>361</v>
      </c>
      <c r="B1" t="s">
        <v>198</v>
      </c>
      <c r="C1" t="s">
        <v>362</v>
      </c>
      <c r="D1" t="s">
        <v>363</v>
      </c>
      <c r="E1" t="s">
        <v>364</v>
      </c>
      <c r="H1" t="s">
        <v>588</v>
      </c>
      <c r="I1" t="s">
        <v>589</v>
      </c>
      <c r="J1" t="s">
        <v>590</v>
      </c>
      <c r="K1" t="s">
        <v>591</v>
      </c>
    </row>
    <row r="2" spans="1:11" x14ac:dyDescent="0.35">
      <c r="A2">
        <v>1</v>
      </c>
      <c r="B2" t="s">
        <v>365</v>
      </c>
      <c r="C2">
        <v>154721</v>
      </c>
      <c r="D2" t="s">
        <v>366</v>
      </c>
      <c r="E2">
        <v>29</v>
      </c>
      <c r="F2" t="str">
        <f>SUBSTITUTE(B2, "'", "''")</f>
        <v>Ginger Allen</v>
      </c>
      <c r="G2" s="3" t="str">
        <f>"insert into employee values ("&amp;A2&amp;", '"&amp;F2&amp;"', "&amp;C2&amp;", '"&amp;D2&amp;"', NULL);"</f>
        <v>insert into employee values (1, 'Ginger Allen', 154721, 'Director of Communications', NULL);</v>
      </c>
      <c r="H2" s="2" t="str">
        <f>SUBSTITUTE(G2, "'NULL'", "NULL")</f>
        <v>insert into employee values (1, 'Ginger Allen', 154721, 'Director of Communications', NULL);</v>
      </c>
      <c r="I2" s="2" t="str">
        <f>"update employee set supervisorid = "&amp;E2&amp;" where empid = "&amp;A2&amp;";"</f>
        <v>update employee set supervisorid = 29 where empid = 1;</v>
      </c>
      <c r="J2" s="3" t="str">
        <f>"insert into employee values ("&amp;A2&amp;", '"&amp;F2&amp;"', "&amp;C2&amp;", '"&amp;D2&amp;"', "&amp;E2&amp;");"</f>
        <v>insert into employee values (1, 'Ginger Allen', 154721, 'Director of Communications', 29);</v>
      </c>
      <c r="K2" s="2" t="str">
        <f>SUBSTITUTE(J2, "'NULL'", "NULL")</f>
        <v>insert into employee values (1, 'Ginger Allen', 154721, 'Director of Communications', 29);</v>
      </c>
    </row>
    <row r="3" spans="1:11" x14ac:dyDescent="0.35">
      <c r="A3">
        <v>2</v>
      </c>
      <c r="B3" t="s">
        <v>367</v>
      </c>
      <c r="C3">
        <v>98824</v>
      </c>
      <c r="D3" t="s">
        <v>368</v>
      </c>
      <c r="E3">
        <v>3</v>
      </c>
      <c r="F3" t="str">
        <f t="shared" ref="F3:F51" si="0">SUBSTITUTE(B3, "'", "''")</f>
        <v>Erika Waller</v>
      </c>
      <c r="G3" s="3" t="str">
        <f t="shared" ref="G3:G51" si="1">"insert into employee values ("&amp;A3&amp;", '"&amp;F3&amp;"', "&amp;C3&amp;", '"&amp;D3&amp;"', NULL);"</f>
        <v>insert into employee values (2, 'Erika Waller', 98824, 'Food Service Aide', NULL);</v>
      </c>
      <c r="H3" s="2" t="str">
        <f t="shared" ref="H3:H54" si="2">SUBSTITUTE(G3, "'NULL'", "NULL")</f>
        <v>insert into employee values (2, 'Erika Waller', 98824, 'Food Service Aide', NULL);</v>
      </c>
      <c r="I3" s="2" t="str">
        <f t="shared" ref="I3:I51" si="3">"update employee set supervisorid = "&amp;E3&amp;" where empid = "&amp;A3&amp;";"</f>
        <v>update employee set supervisorid = 3 where empid = 2;</v>
      </c>
      <c r="J3" s="3" t="str">
        <f t="shared" ref="J3:J51" si="4">"insert into employee values ("&amp;A3&amp;", '"&amp;F3&amp;"', "&amp;C3&amp;", '"&amp;D3&amp;"', "&amp;E3&amp;");"</f>
        <v>insert into employee values (2, 'Erika Waller', 98824, 'Food Service Aide', 3);</v>
      </c>
      <c r="K3" s="2" t="str">
        <f t="shared" ref="K3:K51" si="5">SUBSTITUTE(J3, "'NULL'", "NULL")</f>
        <v>insert into employee values (2, 'Erika Waller', 98824, 'Food Service Aide', 3);</v>
      </c>
    </row>
    <row r="4" spans="1:11" x14ac:dyDescent="0.35">
      <c r="A4">
        <v>3</v>
      </c>
      <c r="B4" t="s">
        <v>369</v>
      </c>
      <c r="C4">
        <v>154011</v>
      </c>
      <c r="D4" t="s">
        <v>370</v>
      </c>
      <c r="E4">
        <v>46</v>
      </c>
      <c r="F4" t="str">
        <f>SUBSTITUTE(B4, "'", "''")</f>
        <v>Tania Herrera</v>
      </c>
      <c r="G4" s="3" t="str">
        <f t="shared" si="1"/>
        <v>insert into employee values (3, 'Tania Herrera', 154011, 'District Manager', NULL);</v>
      </c>
      <c r="H4" s="2" t="str">
        <f t="shared" si="2"/>
        <v>insert into employee values (3, 'Tania Herrera', 154011, 'District Manager', NULL);</v>
      </c>
      <c r="I4" s="2" t="str">
        <f t="shared" si="3"/>
        <v>update employee set supervisorid = 46 where empid = 3;</v>
      </c>
      <c r="J4" s="3" t="str">
        <f t="shared" si="4"/>
        <v>insert into employee values (3, 'Tania Herrera', 154011, 'District Manager', 46);</v>
      </c>
      <c r="K4" s="2" t="str">
        <f t="shared" si="5"/>
        <v>insert into employee values (3, 'Tania Herrera', 154011, 'District Manager', 46);</v>
      </c>
    </row>
    <row r="5" spans="1:11" x14ac:dyDescent="0.35">
      <c r="A5">
        <v>4</v>
      </c>
      <c r="B5" t="s">
        <v>371</v>
      </c>
      <c r="C5">
        <v>67425</v>
      </c>
      <c r="D5" t="s">
        <v>372</v>
      </c>
      <c r="E5">
        <v>26</v>
      </c>
      <c r="F5" t="str">
        <f t="shared" si="0"/>
        <v>Frank Rojas</v>
      </c>
      <c r="G5" s="3" t="str">
        <f t="shared" si="1"/>
        <v>insert into employee values (4, 'Frank Rojas', 67425, 'Desktop Analyst', NULL);</v>
      </c>
      <c r="H5" s="2" t="str">
        <f t="shared" si="2"/>
        <v>insert into employee values (4, 'Frank Rojas', 67425, 'Desktop Analyst', NULL);</v>
      </c>
      <c r="I5" s="2" t="str">
        <f t="shared" si="3"/>
        <v>update employee set supervisorid = 26 where empid = 4;</v>
      </c>
      <c r="J5" s="3" t="str">
        <f t="shared" si="4"/>
        <v>insert into employee values (4, 'Frank Rojas', 67425, 'Desktop Analyst', 26);</v>
      </c>
      <c r="K5" s="2" t="str">
        <f t="shared" si="5"/>
        <v>insert into employee values (4, 'Frank Rojas', 67425, 'Desktop Analyst', 26);</v>
      </c>
    </row>
    <row r="6" spans="1:11" x14ac:dyDescent="0.35">
      <c r="A6">
        <v>5</v>
      </c>
      <c r="B6" t="s">
        <v>373</v>
      </c>
      <c r="C6">
        <v>162770</v>
      </c>
      <c r="D6" t="s">
        <v>374</v>
      </c>
      <c r="E6">
        <v>26</v>
      </c>
      <c r="F6" t="str">
        <f t="shared" si="0"/>
        <v>Norma Bean</v>
      </c>
      <c r="G6" s="3" t="str">
        <f t="shared" si="1"/>
        <v>insert into employee values (5, 'Norma Bean', 162770, 'Dental Receptionist', NULL);</v>
      </c>
      <c r="H6" s="2" t="str">
        <f t="shared" si="2"/>
        <v>insert into employee values (5, 'Norma Bean', 162770, 'Dental Receptionist', NULL);</v>
      </c>
      <c r="I6" s="2" t="str">
        <f t="shared" si="3"/>
        <v>update employee set supervisorid = 26 where empid = 5;</v>
      </c>
      <c r="J6" s="3" t="str">
        <f t="shared" si="4"/>
        <v>insert into employee values (5, 'Norma Bean', 162770, 'Dental Receptionist', 26);</v>
      </c>
      <c r="K6" s="2" t="str">
        <f t="shared" si="5"/>
        <v>insert into employee values (5, 'Norma Bean', 162770, 'Dental Receptionist', 26);</v>
      </c>
    </row>
    <row r="7" spans="1:11" x14ac:dyDescent="0.35">
      <c r="A7">
        <v>6</v>
      </c>
      <c r="B7" t="s">
        <v>375</v>
      </c>
      <c r="C7">
        <v>57408</v>
      </c>
      <c r="D7" t="s">
        <v>376</v>
      </c>
      <c r="E7">
        <v>21</v>
      </c>
      <c r="F7" t="str">
        <f t="shared" si="0"/>
        <v>Esther Gordon</v>
      </c>
      <c r="G7" s="3" t="str">
        <f t="shared" si="1"/>
        <v>insert into employee values (6, 'Esther Gordon', 57408, 'Tour Guide', NULL);</v>
      </c>
      <c r="H7" s="2" t="str">
        <f t="shared" si="2"/>
        <v>insert into employee values (6, 'Esther Gordon', 57408, 'Tour Guide', NULL);</v>
      </c>
      <c r="I7" s="2" t="str">
        <f t="shared" si="3"/>
        <v>update employee set supervisorid = 21 where empid = 6;</v>
      </c>
      <c r="J7" s="3" t="str">
        <f t="shared" si="4"/>
        <v>insert into employee values (6, 'Esther Gordon', 57408, 'Tour Guide', 21);</v>
      </c>
      <c r="K7" s="2" t="str">
        <f t="shared" si="5"/>
        <v>insert into employee values (6, 'Esther Gordon', 57408, 'Tour Guide', 21);</v>
      </c>
    </row>
    <row r="8" spans="1:11" x14ac:dyDescent="0.35">
      <c r="A8">
        <v>7</v>
      </c>
      <c r="B8" t="s">
        <v>377</v>
      </c>
      <c r="C8">
        <v>113338</v>
      </c>
      <c r="D8" t="s">
        <v>378</v>
      </c>
      <c r="E8">
        <v>29</v>
      </c>
      <c r="F8" t="str">
        <f t="shared" si="0"/>
        <v>Wallace French</v>
      </c>
      <c r="G8" s="3" t="str">
        <f t="shared" si="1"/>
        <v>insert into employee values (7, 'Wallace French', 113338, 'Bagger', NULL);</v>
      </c>
      <c r="H8" s="2" t="str">
        <f t="shared" si="2"/>
        <v>insert into employee values (7, 'Wallace French', 113338, 'Bagger', NULL);</v>
      </c>
      <c r="I8" s="2" t="str">
        <f t="shared" si="3"/>
        <v>update employee set supervisorid = 29 where empid = 7;</v>
      </c>
      <c r="J8" s="3" t="str">
        <f t="shared" si="4"/>
        <v>insert into employee values (7, 'Wallace French', 113338, 'Bagger', 29);</v>
      </c>
      <c r="K8" s="2" t="str">
        <f t="shared" si="5"/>
        <v>insert into employee values (7, 'Wallace French', 113338, 'Bagger', 29);</v>
      </c>
    </row>
    <row r="9" spans="1:11" x14ac:dyDescent="0.35">
      <c r="A9">
        <v>8</v>
      </c>
      <c r="B9" t="s">
        <v>379</v>
      </c>
      <c r="C9">
        <v>184281</v>
      </c>
      <c r="D9" t="s">
        <v>380</v>
      </c>
      <c r="E9">
        <v>29</v>
      </c>
      <c r="F9" t="str">
        <f t="shared" si="0"/>
        <v>Carolyn Blackwell</v>
      </c>
      <c r="G9" s="3" t="str">
        <f t="shared" si="1"/>
        <v>insert into employee values (8, 'Carolyn Blackwell', 184281, 'Senior Project Engineer', NULL);</v>
      </c>
      <c r="H9" s="2" t="str">
        <f t="shared" si="2"/>
        <v>insert into employee values (8, 'Carolyn Blackwell', 184281, 'Senior Project Engineer', NULL);</v>
      </c>
      <c r="I9" s="2" t="str">
        <f t="shared" si="3"/>
        <v>update employee set supervisorid = 29 where empid = 8;</v>
      </c>
      <c r="J9" s="3" t="str">
        <f t="shared" si="4"/>
        <v>insert into employee values (8, 'Carolyn Blackwell', 184281, 'Senior Project Engineer', 29);</v>
      </c>
      <c r="K9" s="2" t="str">
        <f t="shared" si="5"/>
        <v>insert into employee values (8, 'Carolyn Blackwell', 184281, 'Senior Project Engineer', 29);</v>
      </c>
    </row>
    <row r="10" spans="1:11" x14ac:dyDescent="0.35">
      <c r="A10">
        <v>9</v>
      </c>
      <c r="B10" t="s">
        <v>381</v>
      </c>
      <c r="C10">
        <v>139518</v>
      </c>
      <c r="D10" t="s">
        <v>382</v>
      </c>
      <c r="E10">
        <v>21</v>
      </c>
      <c r="F10" t="str">
        <f t="shared" si="0"/>
        <v>Terence Ramsey</v>
      </c>
      <c r="G10" s="3" t="str">
        <f t="shared" si="1"/>
        <v>insert into employee values (9, 'Terence Ramsey', 139518, 'Sales Support Specialist', NULL);</v>
      </c>
      <c r="H10" s="2" t="str">
        <f t="shared" si="2"/>
        <v>insert into employee values (9, 'Terence Ramsey', 139518, 'Sales Support Specialist', NULL);</v>
      </c>
      <c r="I10" s="2" t="str">
        <f t="shared" si="3"/>
        <v>update employee set supervisorid = 21 where empid = 9;</v>
      </c>
      <c r="J10" s="3" t="str">
        <f t="shared" si="4"/>
        <v>insert into employee values (9, 'Terence Ramsey', 139518, 'Sales Support Specialist', 21);</v>
      </c>
      <c r="K10" s="2" t="str">
        <f t="shared" si="5"/>
        <v>insert into employee values (9, 'Terence Ramsey', 139518, 'Sales Support Specialist', 21);</v>
      </c>
    </row>
    <row r="11" spans="1:11" x14ac:dyDescent="0.35">
      <c r="A11">
        <v>10</v>
      </c>
      <c r="B11" t="s">
        <v>383</v>
      </c>
      <c r="C11">
        <v>82018</v>
      </c>
      <c r="D11" t="s">
        <v>384</v>
      </c>
      <c r="E11">
        <v>30</v>
      </c>
      <c r="F11" t="str">
        <f t="shared" si="0"/>
        <v>Frankie Woodard</v>
      </c>
      <c r="G11" s="3" t="str">
        <f t="shared" si="1"/>
        <v>insert into employee values (10, 'Frankie Woodard', 82018, 'Home Inspector', NULL);</v>
      </c>
      <c r="H11" s="2" t="str">
        <f t="shared" si="2"/>
        <v>insert into employee values (10, 'Frankie Woodard', 82018, 'Home Inspector', NULL);</v>
      </c>
      <c r="I11" s="2" t="str">
        <f t="shared" si="3"/>
        <v>update employee set supervisorid = 30 where empid = 10;</v>
      </c>
      <c r="J11" s="3" t="str">
        <f t="shared" si="4"/>
        <v>insert into employee values (10, 'Frankie Woodard', 82018, 'Home Inspector', 30);</v>
      </c>
      <c r="K11" s="2" t="str">
        <f t="shared" si="5"/>
        <v>insert into employee values (10, 'Frankie Woodard', 82018, 'Home Inspector', 30);</v>
      </c>
    </row>
    <row r="12" spans="1:11" x14ac:dyDescent="0.35">
      <c r="A12">
        <v>11</v>
      </c>
      <c r="B12" t="s">
        <v>385</v>
      </c>
      <c r="C12">
        <v>138423</v>
      </c>
      <c r="D12" t="s">
        <v>386</v>
      </c>
      <c r="E12">
        <v>21</v>
      </c>
      <c r="F12" t="str">
        <f t="shared" si="0"/>
        <v>Marisa Petersen</v>
      </c>
      <c r="G12" s="3" t="str">
        <f t="shared" si="1"/>
        <v>insert into employee values (11, 'Marisa Petersen', 138423, 'Network Administrator', NULL);</v>
      </c>
      <c r="H12" s="2" t="str">
        <f t="shared" si="2"/>
        <v>insert into employee values (11, 'Marisa Petersen', 138423, 'Network Administrator', NULL);</v>
      </c>
      <c r="I12" s="2" t="str">
        <f t="shared" si="3"/>
        <v>update employee set supervisorid = 21 where empid = 11;</v>
      </c>
      <c r="J12" s="3" t="str">
        <f t="shared" si="4"/>
        <v>insert into employee values (11, 'Marisa Petersen', 138423, 'Network Administrator', 21);</v>
      </c>
      <c r="K12" s="2" t="str">
        <f t="shared" si="5"/>
        <v>insert into employee values (11, 'Marisa Petersen', 138423, 'Network Administrator', 21);</v>
      </c>
    </row>
    <row r="13" spans="1:11" x14ac:dyDescent="0.35">
      <c r="A13">
        <v>12</v>
      </c>
      <c r="B13" t="s">
        <v>387</v>
      </c>
      <c r="C13">
        <v>189790</v>
      </c>
      <c r="D13" t="s">
        <v>388</v>
      </c>
      <c r="E13">
        <v>3</v>
      </c>
      <c r="F13" t="str">
        <f t="shared" si="0"/>
        <v>Joni Sampson</v>
      </c>
      <c r="G13" s="3" t="str">
        <f t="shared" si="1"/>
        <v>insert into employee values (12, 'Joni Sampson', 189790, 'Medical Editor', NULL);</v>
      </c>
      <c r="H13" s="2" t="str">
        <f t="shared" si="2"/>
        <v>insert into employee values (12, 'Joni Sampson', 189790, 'Medical Editor', NULL);</v>
      </c>
      <c r="I13" s="2" t="str">
        <f t="shared" si="3"/>
        <v>update employee set supervisorid = 3 where empid = 12;</v>
      </c>
      <c r="J13" s="3" t="str">
        <f t="shared" si="4"/>
        <v>insert into employee values (12, 'Joni Sampson', 189790, 'Medical Editor', 3);</v>
      </c>
      <c r="K13" s="2" t="str">
        <f t="shared" si="5"/>
        <v>insert into employee values (12, 'Joni Sampson', 189790, 'Medical Editor', 3);</v>
      </c>
    </row>
    <row r="14" spans="1:11" x14ac:dyDescent="0.35">
      <c r="A14">
        <v>13</v>
      </c>
      <c r="B14" t="s">
        <v>389</v>
      </c>
      <c r="C14">
        <v>186100</v>
      </c>
      <c r="D14" t="s">
        <v>390</v>
      </c>
      <c r="E14">
        <v>50</v>
      </c>
      <c r="F14" t="str">
        <f t="shared" si="0"/>
        <v>Margaret Adkins</v>
      </c>
      <c r="G14" s="3" t="str">
        <f t="shared" si="1"/>
        <v>insert into employee values (13, 'Margaret Adkins', 186100, 'Wedding Consultant', NULL);</v>
      </c>
      <c r="H14" s="2" t="str">
        <f t="shared" si="2"/>
        <v>insert into employee values (13, 'Margaret Adkins', 186100, 'Wedding Consultant', NULL);</v>
      </c>
      <c r="I14" s="2" t="str">
        <f t="shared" si="3"/>
        <v>update employee set supervisorid = 50 where empid = 13;</v>
      </c>
      <c r="J14" s="3" t="str">
        <f t="shared" si="4"/>
        <v>insert into employee values (13, 'Margaret Adkins', 186100, 'Wedding Consultant', 50);</v>
      </c>
      <c r="K14" s="2" t="str">
        <f t="shared" si="5"/>
        <v>insert into employee values (13, 'Margaret Adkins', 186100, 'Wedding Consultant', 50);</v>
      </c>
    </row>
    <row r="15" spans="1:11" x14ac:dyDescent="0.35">
      <c r="A15">
        <v>14</v>
      </c>
      <c r="B15" t="s">
        <v>391</v>
      </c>
      <c r="C15">
        <v>198923</v>
      </c>
      <c r="D15" t="s">
        <v>392</v>
      </c>
      <c r="E15">
        <v>29</v>
      </c>
      <c r="F15" t="str">
        <f t="shared" si="0"/>
        <v>Willie Fields</v>
      </c>
      <c r="G15" s="3" t="str">
        <f t="shared" si="1"/>
        <v>insert into employee values (14, 'Willie Fields', 198923, 'Innovation Manager', NULL);</v>
      </c>
      <c r="H15" s="2" t="str">
        <f t="shared" si="2"/>
        <v>insert into employee values (14, 'Willie Fields', 198923, 'Innovation Manager', NULL);</v>
      </c>
      <c r="I15" s="2" t="str">
        <f t="shared" si="3"/>
        <v>update employee set supervisorid = 29 where empid = 14;</v>
      </c>
      <c r="J15" s="3" t="str">
        <f t="shared" si="4"/>
        <v>insert into employee values (14, 'Willie Fields', 198923, 'Innovation Manager', 29);</v>
      </c>
      <c r="K15" s="2" t="str">
        <f t="shared" si="5"/>
        <v>insert into employee values (14, 'Willie Fields', 198923, 'Innovation Manager', 29);</v>
      </c>
    </row>
    <row r="16" spans="1:11" x14ac:dyDescent="0.35">
      <c r="A16">
        <v>15</v>
      </c>
      <c r="B16" t="s">
        <v>79</v>
      </c>
      <c r="C16">
        <v>188672</v>
      </c>
      <c r="D16" t="s">
        <v>393</v>
      </c>
      <c r="E16">
        <v>46</v>
      </c>
      <c r="F16" t="str">
        <f t="shared" si="0"/>
        <v>NULL</v>
      </c>
      <c r="G16" s="3" t="str">
        <f t="shared" si="1"/>
        <v>insert into employee values (15, 'NULL', 188672, 'Fire Protection Engineer', NULL);</v>
      </c>
      <c r="H16" s="2" t="str">
        <f t="shared" si="2"/>
        <v>insert into employee values (15, NULL, 188672, 'Fire Protection Engineer', NULL);</v>
      </c>
      <c r="I16" s="2" t="str">
        <f t="shared" si="3"/>
        <v>update employee set supervisorid = 46 where empid = 15;</v>
      </c>
      <c r="J16" s="3" t="str">
        <f t="shared" si="4"/>
        <v>insert into employee values (15, 'NULL', 188672, 'Fire Protection Engineer', 46);</v>
      </c>
      <c r="K16" s="2" t="str">
        <f t="shared" si="5"/>
        <v>insert into employee values (15, NULL, 188672, 'Fire Protection Engineer', 46);</v>
      </c>
    </row>
    <row r="17" spans="1:11" x14ac:dyDescent="0.35">
      <c r="A17">
        <v>16</v>
      </c>
      <c r="B17" t="s">
        <v>394</v>
      </c>
      <c r="C17">
        <v>94730</v>
      </c>
      <c r="D17" t="s">
        <v>395</v>
      </c>
      <c r="E17">
        <v>46</v>
      </c>
      <c r="F17" t="str">
        <f t="shared" si="0"/>
        <v>Connie Walters</v>
      </c>
      <c r="G17" s="3" t="str">
        <f t="shared" si="1"/>
        <v>insert into employee values (16, 'Connie Walters', 94730, 'Bus Monitor', NULL);</v>
      </c>
      <c r="H17" s="2" t="str">
        <f t="shared" si="2"/>
        <v>insert into employee values (16, 'Connie Walters', 94730, 'Bus Monitor', NULL);</v>
      </c>
      <c r="I17" s="2" t="str">
        <f t="shared" si="3"/>
        <v>update employee set supervisorid = 46 where empid = 16;</v>
      </c>
      <c r="J17" s="3" t="str">
        <f t="shared" si="4"/>
        <v>insert into employee values (16, 'Connie Walters', 94730, 'Bus Monitor', 46);</v>
      </c>
      <c r="K17" s="2" t="str">
        <f t="shared" si="5"/>
        <v>insert into employee values (16, 'Connie Walters', 94730, 'Bus Monitor', 46);</v>
      </c>
    </row>
    <row r="18" spans="1:11" x14ac:dyDescent="0.35">
      <c r="A18">
        <v>17</v>
      </c>
      <c r="B18" t="s">
        <v>79</v>
      </c>
      <c r="C18">
        <v>139770</v>
      </c>
      <c r="D18" t="s">
        <v>396</v>
      </c>
      <c r="E18">
        <v>21</v>
      </c>
      <c r="F18" t="str">
        <f t="shared" si="0"/>
        <v>NULL</v>
      </c>
      <c r="G18" s="3" t="str">
        <f t="shared" si="1"/>
        <v>insert into employee values (17, 'NULL', 139770, 'Junior Programmer', NULL);</v>
      </c>
      <c r="H18" s="2" t="str">
        <f t="shared" si="2"/>
        <v>insert into employee values (17, NULL, 139770, 'Junior Programmer', NULL);</v>
      </c>
      <c r="I18" s="2" t="str">
        <f t="shared" si="3"/>
        <v>update employee set supervisorid = 21 where empid = 17;</v>
      </c>
      <c r="J18" s="3" t="str">
        <f t="shared" si="4"/>
        <v>insert into employee values (17, 'NULL', 139770, 'Junior Programmer', 21);</v>
      </c>
      <c r="K18" s="2" t="str">
        <f t="shared" si="5"/>
        <v>insert into employee values (17, NULL, 139770, 'Junior Programmer', 21);</v>
      </c>
    </row>
    <row r="19" spans="1:11" x14ac:dyDescent="0.35">
      <c r="A19">
        <v>18</v>
      </c>
      <c r="B19" t="s">
        <v>397</v>
      </c>
      <c r="C19">
        <v>199096</v>
      </c>
      <c r="D19" t="s">
        <v>398</v>
      </c>
      <c r="E19">
        <v>50</v>
      </c>
      <c r="F19" t="str">
        <f t="shared" si="0"/>
        <v>Sabrina Nichols</v>
      </c>
      <c r="G19" s="3" t="str">
        <f t="shared" si="1"/>
        <v>insert into employee values (18, 'Sabrina Nichols', 199096, 'Content Editor', NULL);</v>
      </c>
      <c r="H19" s="2" t="str">
        <f t="shared" si="2"/>
        <v>insert into employee values (18, 'Sabrina Nichols', 199096, 'Content Editor', NULL);</v>
      </c>
      <c r="I19" s="2" t="str">
        <f t="shared" si="3"/>
        <v>update employee set supervisorid = 50 where empid = 18;</v>
      </c>
      <c r="J19" s="3" t="str">
        <f t="shared" si="4"/>
        <v>insert into employee values (18, 'Sabrina Nichols', 199096, 'Content Editor', 50);</v>
      </c>
      <c r="K19" s="2" t="str">
        <f t="shared" si="5"/>
        <v>insert into employee values (18, 'Sabrina Nichols', 199096, 'Content Editor', 50);</v>
      </c>
    </row>
    <row r="20" spans="1:11" x14ac:dyDescent="0.35">
      <c r="A20">
        <v>19</v>
      </c>
      <c r="B20" t="s">
        <v>399</v>
      </c>
      <c r="C20">
        <v>75721</v>
      </c>
      <c r="D20" t="s">
        <v>400</v>
      </c>
      <c r="E20">
        <v>46</v>
      </c>
      <c r="F20" t="str">
        <f t="shared" si="0"/>
        <v>Jasmine Marquez</v>
      </c>
      <c r="G20" s="3" t="str">
        <f t="shared" si="1"/>
        <v>insert into employee values (19, 'Jasmine Marquez', 75721, 'Store Assistant Manager', NULL);</v>
      </c>
      <c r="H20" s="2" t="str">
        <f t="shared" si="2"/>
        <v>insert into employee values (19, 'Jasmine Marquez', 75721, 'Store Assistant Manager', NULL);</v>
      </c>
      <c r="I20" s="2" t="str">
        <f t="shared" si="3"/>
        <v>update employee set supervisorid = 46 where empid = 19;</v>
      </c>
      <c r="J20" s="3" t="str">
        <f t="shared" si="4"/>
        <v>insert into employee values (19, 'Jasmine Marquez', 75721, 'Store Assistant Manager', 46);</v>
      </c>
      <c r="K20" s="2" t="str">
        <f t="shared" si="5"/>
        <v>insert into employee values (19, 'Jasmine Marquez', 75721, 'Store Assistant Manager', 46);</v>
      </c>
    </row>
    <row r="21" spans="1:11" x14ac:dyDescent="0.35">
      <c r="A21">
        <v>20</v>
      </c>
      <c r="B21" t="s">
        <v>401</v>
      </c>
      <c r="C21">
        <v>62690</v>
      </c>
      <c r="D21" t="s">
        <v>402</v>
      </c>
      <c r="E21">
        <v>46</v>
      </c>
      <c r="F21" t="str">
        <f t="shared" si="0"/>
        <v>Edgar Conley</v>
      </c>
      <c r="G21" s="3" t="str">
        <f t="shared" si="1"/>
        <v>insert into employee values (20, 'Edgar Conley', 62690, '3D Modeler', NULL);</v>
      </c>
      <c r="H21" s="2" t="str">
        <f t="shared" si="2"/>
        <v>insert into employee values (20, 'Edgar Conley', 62690, '3D Modeler', NULL);</v>
      </c>
      <c r="I21" s="2" t="str">
        <f t="shared" si="3"/>
        <v>update employee set supervisorid = 46 where empid = 20;</v>
      </c>
      <c r="J21" s="3" t="str">
        <f t="shared" si="4"/>
        <v>insert into employee values (20, 'Edgar Conley', 62690, '3D Modeler', 46);</v>
      </c>
      <c r="K21" s="2" t="str">
        <f t="shared" si="5"/>
        <v>insert into employee values (20, 'Edgar Conley', 62690, '3D Modeler', 46);</v>
      </c>
    </row>
    <row r="22" spans="1:11" x14ac:dyDescent="0.35">
      <c r="A22">
        <v>21</v>
      </c>
      <c r="B22" t="s">
        <v>403</v>
      </c>
      <c r="C22">
        <v>80226</v>
      </c>
      <c r="D22" t="s">
        <v>404</v>
      </c>
      <c r="E22">
        <v>26</v>
      </c>
      <c r="F22" t="str">
        <f t="shared" si="0"/>
        <v>Tonia Schaefer</v>
      </c>
      <c r="G22" s="3" t="str">
        <f t="shared" si="1"/>
        <v>insert into employee values (21, 'Tonia Schaefer', 80226, 'Brand Specialist', NULL);</v>
      </c>
      <c r="H22" s="2" t="str">
        <f t="shared" si="2"/>
        <v>insert into employee values (21, 'Tonia Schaefer', 80226, 'Brand Specialist', NULL);</v>
      </c>
      <c r="I22" s="2" t="str">
        <f t="shared" si="3"/>
        <v>update employee set supervisorid = 26 where empid = 21;</v>
      </c>
      <c r="J22" s="3" t="str">
        <f t="shared" si="4"/>
        <v>insert into employee values (21, 'Tonia Schaefer', 80226, 'Brand Specialist', 26);</v>
      </c>
      <c r="K22" s="2" t="str">
        <f t="shared" si="5"/>
        <v>insert into employee values (21, 'Tonia Schaefer', 80226, 'Brand Specialist', 26);</v>
      </c>
    </row>
    <row r="23" spans="1:11" x14ac:dyDescent="0.35">
      <c r="A23">
        <v>22</v>
      </c>
      <c r="B23" t="s">
        <v>405</v>
      </c>
      <c r="C23">
        <v>168243</v>
      </c>
      <c r="D23" t="s">
        <v>406</v>
      </c>
      <c r="E23">
        <v>30</v>
      </c>
      <c r="F23" t="str">
        <f t="shared" si="0"/>
        <v>Darrick O''Connor</v>
      </c>
      <c r="G23" s="3" t="str">
        <f t="shared" si="1"/>
        <v>insert into employee values (22, 'Darrick O''Connor', 168243, 'Human Resources Associate', NULL);</v>
      </c>
      <c r="H23" s="2" t="str">
        <f t="shared" si="2"/>
        <v>insert into employee values (22, 'Darrick O''Connor', 168243, 'Human Resources Associate', NULL);</v>
      </c>
      <c r="I23" s="2" t="str">
        <f t="shared" si="3"/>
        <v>update employee set supervisorid = 30 where empid = 22;</v>
      </c>
      <c r="J23" s="3" t="str">
        <f t="shared" si="4"/>
        <v>insert into employee values (22, 'Darrick O''Connor', 168243, 'Human Resources Associate', 30);</v>
      </c>
      <c r="K23" s="2" t="str">
        <f t="shared" si="5"/>
        <v>insert into employee values (22, 'Darrick O''Connor', 168243, 'Human Resources Associate', 30);</v>
      </c>
    </row>
    <row r="24" spans="1:11" x14ac:dyDescent="0.35">
      <c r="A24">
        <v>23</v>
      </c>
      <c r="B24" t="s">
        <v>407</v>
      </c>
      <c r="C24">
        <v>117826</v>
      </c>
      <c r="D24" t="s">
        <v>408</v>
      </c>
      <c r="E24">
        <v>21</v>
      </c>
      <c r="F24" t="str">
        <f t="shared" si="0"/>
        <v>Sonja Holder</v>
      </c>
      <c r="G24" s="3" t="str">
        <f t="shared" si="1"/>
        <v>insert into employee values (23, 'Sonja Holder', 117826, 'Resource Specialist', NULL);</v>
      </c>
      <c r="H24" s="2" t="str">
        <f t="shared" si="2"/>
        <v>insert into employee values (23, 'Sonja Holder', 117826, 'Resource Specialist', NULL);</v>
      </c>
      <c r="I24" s="2" t="str">
        <f t="shared" si="3"/>
        <v>update employee set supervisorid = 21 where empid = 23;</v>
      </c>
      <c r="J24" s="3" t="str">
        <f t="shared" si="4"/>
        <v>insert into employee values (23, 'Sonja Holder', 117826, 'Resource Specialist', 21);</v>
      </c>
      <c r="K24" s="2" t="str">
        <f t="shared" si="5"/>
        <v>insert into employee values (23, 'Sonja Holder', 117826, 'Resource Specialist', 21);</v>
      </c>
    </row>
    <row r="25" spans="1:11" x14ac:dyDescent="0.35">
      <c r="A25">
        <v>24</v>
      </c>
      <c r="B25" t="s">
        <v>409</v>
      </c>
      <c r="C25">
        <v>78751</v>
      </c>
      <c r="D25" t="s">
        <v>410</v>
      </c>
      <c r="E25">
        <v>26</v>
      </c>
      <c r="F25" t="str">
        <f t="shared" si="0"/>
        <v>Suzanne Crawford</v>
      </c>
      <c r="G25" s="3" t="str">
        <f t="shared" si="1"/>
        <v>insert into employee values (24, 'Suzanne Crawford', 78751, 'Vmware Engineer', NULL);</v>
      </c>
      <c r="H25" s="2" t="str">
        <f t="shared" si="2"/>
        <v>insert into employee values (24, 'Suzanne Crawford', 78751, 'Vmware Engineer', NULL);</v>
      </c>
      <c r="I25" s="2" t="str">
        <f t="shared" si="3"/>
        <v>update employee set supervisorid = 26 where empid = 24;</v>
      </c>
      <c r="J25" s="3" t="str">
        <f t="shared" si="4"/>
        <v>insert into employee values (24, 'Suzanne Crawford', 78751, 'Vmware Engineer', 26);</v>
      </c>
      <c r="K25" s="2" t="str">
        <f t="shared" si="5"/>
        <v>insert into employee values (24, 'Suzanne Crawford', 78751, 'Vmware Engineer', 26);</v>
      </c>
    </row>
    <row r="26" spans="1:11" x14ac:dyDescent="0.35">
      <c r="A26">
        <v>25</v>
      </c>
      <c r="B26" t="s">
        <v>411</v>
      </c>
      <c r="C26">
        <v>141748</v>
      </c>
      <c r="D26" t="s">
        <v>412</v>
      </c>
      <c r="E26">
        <v>30</v>
      </c>
      <c r="F26" t="str">
        <f t="shared" si="0"/>
        <v>Anthony Carlson</v>
      </c>
      <c r="G26" s="3" t="str">
        <f t="shared" si="1"/>
        <v>insert into employee values (25, 'Anthony Carlson', 141748, 'Employee Relations Specialist', NULL);</v>
      </c>
      <c r="H26" s="2" t="str">
        <f t="shared" si="2"/>
        <v>insert into employee values (25, 'Anthony Carlson', 141748, 'Employee Relations Specialist', NULL);</v>
      </c>
      <c r="I26" s="2" t="str">
        <f t="shared" si="3"/>
        <v>update employee set supervisorid = 30 where empid = 25;</v>
      </c>
      <c r="J26" s="3" t="str">
        <f t="shared" si="4"/>
        <v>insert into employee values (25, 'Anthony Carlson', 141748, 'Employee Relations Specialist', 30);</v>
      </c>
      <c r="K26" s="2" t="str">
        <f t="shared" si="5"/>
        <v>insert into employee values (25, 'Anthony Carlson', 141748, 'Employee Relations Specialist', 30);</v>
      </c>
    </row>
    <row r="27" spans="1:11" x14ac:dyDescent="0.35">
      <c r="A27">
        <v>26</v>
      </c>
      <c r="B27" t="s">
        <v>413</v>
      </c>
      <c r="C27">
        <v>57718</v>
      </c>
      <c r="D27" t="s">
        <v>414</v>
      </c>
      <c r="E27">
        <v>30</v>
      </c>
      <c r="F27" t="str">
        <f t="shared" si="0"/>
        <v>Jessica Collier</v>
      </c>
      <c r="G27" s="3" t="str">
        <f t="shared" si="1"/>
        <v>insert into employee values (26, 'Jessica Collier', 57718, 'Radiology Manager', NULL);</v>
      </c>
      <c r="H27" s="2" t="str">
        <f t="shared" si="2"/>
        <v>insert into employee values (26, 'Jessica Collier', 57718, 'Radiology Manager', NULL);</v>
      </c>
      <c r="I27" s="2" t="str">
        <f t="shared" si="3"/>
        <v>update employee set supervisorid = 30 where empid = 26;</v>
      </c>
      <c r="J27" s="3" t="str">
        <f t="shared" si="4"/>
        <v>insert into employee values (26, 'Jessica Collier', 57718, 'Radiology Manager', 30);</v>
      </c>
      <c r="K27" s="2" t="str">
        <f t="shared" si="5"/>
        <v>insert into employee values (26, 'Jessica Collier', 57718, 'Radiology Manager', 30);</v>
      </c>
    </row>
    <row r="28" spans="1:11" x14ac:dyDescent="0.35">
      <c r="A28">
        <v>27</v>
      </c>
      <c r="B28" t="s">
        <v>415</v>
      </c>
      <c r="C28">
        <v>117829</v>
      </c>
      <c r="D28" t="s">
        <v>416</v>
      </c>
      <c r="E28">
        <v>46</v>
      </c>
      <c r="F28" t="str">
        <f t="shared" si="0"/>
        <v>Quincy Green</v>
      </c>
      <c r="G28" s="3" t="str">
        <f t="shared" si="1"/>
        <v>insert into employee values (27, 'Quincy Green', 117829, 'Financial Representative', NULL);</v>
      </c>
      <c r="H28" s="2" t="str">
        <f t="shared" si="2"/>
        <v>insert into employee values (27, 'Quincy Green', 117829, 'Financial Representative', NULL);</v>
      </c>
      <c r="I28" s="2" t="str">
        <f t="shared" si="3"/>
        <v>update employee set supervisorid = 46 where empid = 27;</v>
      </c>
      <c r="J28" s="3" t="str">
        <f t="shared" si="4"/>
        <v>insert into employee values (27, 'Quincy Green', 117829, 'Financial Representative', 46);</v>
      </c>
      <c r="K28" s="2" t="str">
        <f t="shared" si="5"/>
        <v>insert into employee values (27, 'Quincy Green', 117829, 'Financial Representative', 46);</v>
      </c>
    </row>
    <row r="29" spans="1:11" x14ac:dyDescent="0.35">
      <c r="A29">
        <v>28</v>
      </c>
      <c r="B29" t="s">
        <v>417</v>
      </c>
      <c r="C29">
        <v>182591</v>
      </c>
      <c r="D29" t="s">
        <v>418</v>
      </c>
      <c r="E29">
        <v>21</v>
      </c>
      <c r="F29" t="str">
        <f t="shared" si="0"/>
        <v>Irma Duncan</v>
      </c>
      <c r="G29" s="3" t="str">
        <f t="shared" si="1"/>
        <v>insert into employee values (28, 'Irma Duncan', 182591, 'Wind Turbine Technician', NULL);</v>
      </c>
      <c r="H29" s="2" t="str">
        <f t="shared" si="2"/>
        <v>insert into employee values (28, 'Irma Duncan', 182591, 'Wind Turbine Technician', NULL);</v>
      </c>
      <c r="I29" s="2" t="str">
        <f t="shared" si="3"/>
        <v>update employee set supervisorid = 21 where empid = 28;</v>
      </c>
      <c r="J29" s="3" t="str">
        <f t="shared" si="4"/>
        <v>insert into employee values (28, 'Irma Duncan', 182591, 'Wind Turbine Technician', 21);</v>
      </c>
      <c r="K29" s="2" t="str">
        <f t="shared" si="5"/>
        <v>insert into employee values (28, 'Irma Duncan', 182591, 'Wind Turbine Technician', 21);</v>
      </c>
    </row>
    <row r="30" spans="1:11" x14ac:dyDescent="0.35">
      <c r="A30">
        <v>29</v>
      </c>
      <c r="B30" t="s">
        <v>419</v>
      </c>
      <c r="C30">
        <v>167519</v>
      </c>
      <c r="D30" t="s">
        <v>420</v>
      </c>
      <c r="E30">
        <v>21</v>
      </c>
      <c r="F30" t="str">
        <f t="shared" si="0"/>
        <v>Mia Rowland</v>
      </c>
      <c r="G30" s="3" t="str">
        <f t="shared" si="1"/>
        <v>insert into employee values (29, 'Mia Rowland', 167519, 'Hr Consultant', NULL);</v>
      </c>
      <c r="H30" s="2" t="str">
        <f t="shared" si="2"/>
        <v>insert into employee values (29, 'Mia Rowland', 167519, 'Hr Consultant', NULL);</v>
      </c>
      <c r="I30" s="2" t="str">
        <f t="shared" si="3"/>
        <v>update employee set supervisorid = 21 where empid = 29;</v>
      </c>
      <c r="J30" s="3" t="str">
        <f t="shared" si="4"/>
        <v>insert into employee values (29, 'Mia Rowland', 167519, 'Hr Consultant', 21);</v>
      </c>
      <c r="K30" s="2" t="str">
        <f t="shared" si="5"/>
        <v>insert into employee values (29, 'Mia Rowland', 167519, 'Hr Consultant', 21);</v>
      </c>
    </row>
    <row r="31" spans="1:11" x14ac:dyDescent="0.35">
      <c r="A31">
        <v>30</v>
      </c>
      <c r="B31" t="s">
        <v>421</v>
      </c>
      <c r="C31">
        <v>60240</v>
      </c>
      <c r="D31" t="s">
        <v>422</v>
      </c>
      <c r="E31">
        <v>49</v>
      </c>
      <c r="F31" t="str">
        <f t="shared" si="0"/>
        <v>Donovan Parrish</v>
      </c>
      <c r="G31" s="3" t="str">
        <f t="shared" si="1"/>
        <v>insert into employee values (30, 'Donovan Parrish', 60240, 'Medical Laboratory Technician', NULL);</v>
      </c>
      <c r="H31" s="2" t="str">
        <f t="shared" si="2"/>
        <v>insert into employee values (30, 'Donovan Parrish', 60240, 'Medical Laboratory Technician', NULL);</v>
      </c>
      <c r="I31" s="2" t="str">
        <f t="shared" si="3"/>
        <v>update employee set supervisorid = 49 where empid = 30;</v>
      </c>
      <c r="J31" s="3" t="str">
        <f t="shared" si="4"/>
        <v>insert into employee values (30, 'Donovan Parrish', 60240, 'Medical Laboratory Technician', 49);</v>
      </c>
      <c r="K31" s="2" t="str">
        <f t="shared" si="5"/>
        <v>insert into employee values (30, 'Donovan Parrish', 60240, 'Medical Laboratory Technician', 49);</v>
      </c>
    </row>
    <row r="32" spans="1:11" x14ac:dyDescent="0.35">
      <c r="A32">
        <v>31</v>
      </c>
      <c r="B32" t="s">
        <v>423</v>
      </c>
      <c r="C32">
        <v>50224</v>
      </c>
      <c r="D32" t="s">
        <v>424</v>
      </c>
      <c r="E32">
        <v>29</v>
      </c>
      <c r="F32" t="str">
        <f t="shared" si="0"/>
        <v>Monte Wagner</v>
      </c>
      <c r="G32" s="3" t="str">
        <f t="shared" si="1"/>
        <v>insert into employee values (31, 'Monte Wagner', 50224, 'Retail Analyst', NULL);</v>
      </c>
      <c r="H32" s="2" t="str">
        <f t="shared" si="2"/>
        <v>insert into employee values (31, 'Monte Wagner', 50224, 'Retail Analyst', NULL);</v>
      </c>
      <c r="I32" s="2" t="str">
        <f t="shared" si="3"/>
        <v>update employee set supervisorid = 29 where empid = 31;</v>
      </c>
      <c r="J32" s="3" t="str">
        <f t="shared" si="4"/>
        <v>insert into employee values (31, 'Monte Wagner', 50224, 'Retail Analyst', 29);</v>
      </c>
      <c r="K32" s="2" t="str">
        <f t="shared" si="5"/>
        <v>insert into employee values (31, 'Monte Wagner', 50224, 'Retail Analyst', 29);</v>
      </c>
    </row>
    <row r="33" spans="1:11" x14ac:dyDescent="0.35">
      <c r="A33">
        <v>32</v>
      </c>
      <c r="B33" t="s">
        <v>425</v>
      </c>
      <c r="C33">
        <v>115597</v>
      </c>
      <c r="D33" t="s">
        <v>426</v>
      </c>
      <c r="E33">
        <v>29</v>
      </c>
      <c r="F33" t="str">
        <f t="shared" si="0"/>
        <v>Dora Rasmussen</v>
      </c>
      <c r="G33" s="3" t="str">
        <f t="shared" si="1"/>
        <v>insert into employee values (32, 'Dora Rasmussen', 115597, 'Field Marketing Manager', NULL);</v>
      </c>
      <c r="H33" s="2" t="str">
        <f t="shared" si="2"/>
        <v>insert into employee values (32, 'Dora Rasmussen', 115597, 'Field Marketing Manager', NULL);</v>
      </c>
      <c r="I33" s="2" t="str">
        <f t="shared" si="3"/>
        <v>update employee set supervisorid = 29 where empid = 32;</v>
      </c>
      <c r="J33" s="3" t="str">
        <f t="shared" si="4"/>
        <v>insert into employee values (32, 'Dora Rasmussen', 115597, 'Field Marketing Manager', 29);</v>
      </c>
      <c r="K33" s="2" t="str">
        <f t="shared" si="5"/>
        <v>insert into employee values (32, 'Dora Rasmussen', 115597, 'Field Marketing Manager', 29);</v>
      </c>
    </row>
    <row r="34" spans="1:11" x14ac:dyDescent="0.35">
      <c r="A34">
        <v>33</v>
      </c>
      <c r="B34" t="s">
        <v>427</v>
      </c>
      <c r="C34">
        <v>147696</v>
      </c>
      <c r="D34" t="s">
        <v>428</v>
      </c>
      <c r="E34">
        <v>26</v>
      </c>
      <c r="F34" t="str">
        <f t="shared" si="0"/>
        <v>Rex Santana</v>
      </c>
      <c r="G34" s="3" t="str">
        <f t="shared" si="1"/>
        <v>insert into employee values (33, 'Rex Santana', 147696, 'Product Analyst', NULL);</v>
      </c>
      <c r="H34" s="2" t="str">
        <f t="shared" si="2"/>
        <v>insert into employee values (33, 'Rex Santana', 147696, 'Product Analyst', NULL);</v>
      </c>
      <c r="I34" s="2" t="str">
        <f t="shared" si="3"/>
        <v>update employee set supervisorid = 26 where empid = 33;</v>
      </c>
      <c r="J34" s="3" t="str">
        <f t="shared" si="4"/>
        <v>insert into employee values (33, 'Rex Santana', 147696, 'Product Analyst', 26);</v>
      </c>
      <c r="K34" s="2" t="str">
        <f t="shared" si="5"/>
        <v>insert into employee values (33, 'Rex Santana', 147696, 'Product Analyst', 26);</v>
      </c>
    </row>
    <row r="35" spans="1:11" x14ac:dyDescent="0.35">
      <c r="A35">
        <v>34</v>
      </c>
      <c r="B35" t="s">
        <v>429</v>
      </c>
      <c r="C35">
        <v>107498</v>
      </c>
      <c r="D35" t="s">
        <v>430</v>
      </c>
      <c r="E35">
        <v>26</v>
      </c>
      <c r="F35" t="str">
        <f t="shared" si="0"/>
        <v>Kara Riley</v>
      </c>
      <c r="G35" s="3" t="str">
        <f t="shared" si="1"/>
        <v>insert into employee values (34, 'Kara Riley', 107498, 'Automotive Manager', NULL);</v>
      </c>
      <c r="H35" s="2" t="str">
        <f t="shared" si="2"/>
        <v>insert into employee values (34, 'Kara Riley', 107498, 'Automotive Manager', NULL);</v>
      </c>
      <c r="I35" s="2" t="str">
        <f t="shared" si="3"/>
        <v>update employee set supervisorid = 26 where empid = 34;</v>
      </c>
      <c r="J35" s="3" t="str">
        <f t="shared" si="4"/>
        <v>insert into employee values (34, 'Kara Riley', 107498, 'Automotive Manager', 26);</v>
      </c>
      <c r="K35" s="2" t="str">
        <f t="shared" si="5"/>
        <v>insert into employee values (34, 'Kara Riley', 107498, 'Automotive Manager', 26);</v>
      </c>
    </row>
    <row r="36" spans="1:11" x14ac:dyDescent="0.35">
      <c r="A36">
        <v>35</v>
      </c>
      <c r="B36" t="s">
        <v>431</v>
      </c>
      <c r="C36">
        <v>118831</v>
      </c>
      <c r="D36" t="s">
        <v>432</v>
      </c>
      <c r="E36">
        <v>29</v>
      </c>
      <c r="F36" t="str">
        <f t="shared" si="0"/>
        <v>Nicole Barron</v>
      </c>
      <c r="G36" s="3" t="str">
        <f t="shared" si="1"/>
        <v>insert into employee values (35, 'Nicole Barron', 118831, 'Autocad Designer', NULL);</v>
      </c>
      <c r="H36" s="2" t="str">
        <f t="shared" si="2"/>
        <v>insert into employee values (35, 'Nicole Barron', 118831, 'Autocad Designer', NULL);</v>
      </c>
      <c r="I36" s="2" t="str">
        <f t="shared" si="3"/>
        <v>update employee set supervisorid = 29 where empid = 35;</v>
      </c>
      <c r="J36" s="3" t="str">
        <f t="shared" si="4"/>
        <v>insert into employee values (35, 'Nicole Barron', 118831, 'Autocad Designer', 29);</v>
      </c>
      <c r="K36" s="2" t="str">
        <f t="shared" si="5"/>
        <v>insert into employee values (35, 'Nicole Barron', 118831, 'Autocad Designer', 29);</v>
      </c>
    </row>
    <row r="37" spans="1:11" x14ac:dyDescent="0.35">
      <c r="A37">
        <v>36</v>
      </c>
      <c r="B37" t="s">
        <v>433</v>
      </c>
      <c r="C37">
        <v>140885</v>
      </c>
      <c r="D37" t="s">
        <v>434</v>
      </c>
      <c r="E37">
        <v>34</v>
      </c>
      <c r="F37" t="str">
        <f t="shared" si="0"/>
        <v>Jeffrey Krueger</v>
      </c>
      <c r="G37" s="3" t="str">
        <f t="shared" si="1"/>
        <v>insert into employee values (36, 'Jeffrey Krueger', 140885, 'Revenue Cycle Manager', NULL);</v>
      </c>
      <c r="H37" s="2" t="str">
        <f t="shared" si="2"/>
        <v>insert into employee values (36, 'Jeffrey Krueger', 140885, 'Revenue Cycle Manager', NULL);</v>
      </c>
      <c r="I37" s="2" t="str">
        <f t="shared" si="3"/>
        <v>update employee set supervisorid = 34 where empid = 36;</v>
      </c>
      <c r="J37" s="3" t="str">
        <f t="shared" si="4"/>
        <v>insert into employee values (36, 'Jeffrey Krueger', 140885, 'Revenue Cycle Manager', 34);</v>
      </c>
      <c r="K37" s="2" t="str">
        <f t="shared" si="5"/>
        <v>insert into employee values (36, 'Jeffrey Krueger', 140885, 'Revenue Cycle Manager', 34);</v>
      </c>
    </row>
    <row r="38" spans="1:11" x14ac:dyDescent="0.35">
      <c r="A38">
        <v>37</v>
      </c>
      <c r="B38" t="s">
        <v>435</v>
      </c>
      <c r="C38">
        <v>71970</v>
      </c>
      <c r="D38" t="s">
        <v>436</v>
      </c>
      <c r="E38">
        <v>3</v>
      </c>
      <c r="F38" t="str">
        <f t="shared" si="0"/>
        <v>Roman Gilmore</v>
      </c>
      <c r="G38" s="3" t="str">
        <f t="shared" si="1"/>
        <v>insert into employee values (37, 'Roman Gilmore', 71970, 'Quality Control Inspector', NULL);</v>
      </c>
      <c r="H38" s="2" t="str">
        <f t="shared" si="2"/>
        <v>insert into employee values (37, 'Roman Gilmore', 71970, 'Quality Control Inspector', NULL);</v>
      </c>
      <c r="I38" s="2" t="str">
        <f t="shared" si="3"/>
        <v>update employee set supervisorid = 3 where empid = 37;</v>
      </c>
      <c r="J38" s="3" t="str">
        <f t="shared" si="4"/>
        <v>insert into employee values (37, 'Roman Gilmore', 71970, 'Quality Control Inspector', 3);</v>
      </c>
      <c r="K38" s="2" t="str">
        <f t="shared" si="5"/>
        <v>insert into employee values (37, 'Roman Gilmore', 71970, 'Quality Control Inspector', 3);</v>
      </c>
    </row>
    <row r="39" spans="1:11" x14ac:dyDescent="0.35">
      <c r="A39">
        <v>38</v>
      </c>
      <c r="B39" t="s">
        <v>437</v>
      </c>
      <c r="C39">
        <v>118037</v>
      </c>
      <c r="D39" t="s">
        <v>438</v>
      </c>
      <c r="E39">
        <v>29</v>
      </c>
      <c r="F39" t="str">
        <f t="shared" si="0"/>
        <v>Celeste Reese</v>
      </c>
      <c r="G39" s="3" t="str">
        <f t="shared" si="1"/>
        <v>insert into employee values (38, 'Celeste Reese', 118037, 'Dental Assistant', NULL);</v>
      </c>
      <c r="H39" s="2" t="str">
        <f t="shared" si="2"/>
        <v>insert into employee values (38, 'Celeste Reese', 118037, 'Dental Assistant', NULL);</v>
      </c>
      <c r="I39" s="2" t="str">
        <f t="shared" si="3"/>
        <v>update employee set supervisorid = 29 where empid = 38;</v>
      </c>
      <c r="J39" s="3" t="str">
        <f t="shared" si="4"/>
        <v>insert into employee values (38, 'Celeste Reese', 118037, 'Dental Assistant', 29);</v>
      </c>
      <c r="K39" s="2" t="str">
        <f t="shared" si="5"/>
        <v>insert into employee values (38, 'Celeste Reese', 118037, 'Dental Assistant', 29);</v>
      </c>
    </row>
    <row r="40" spans="1:11" x14ac:dyDescent="0.35">
      <c r="A40">
        <v>39</v>
      </c>
      <c r="B40" t="s">
        <v>439</v>
      </c>
      <c r="C40">
        <v>111433</v>
      </c>
      <c r="D40" t="s">
        <v>440</v>
      </c>
      <c r="E40">
        <v>29</v>
      </c>
      <c r="F40" t="str">
        <f t="shared" si="0"/>
        <v>Pamela Mora</v>
      </c>
      <c r="G40" s="3" t="str">
        <f t="shared" si="1"/>
        <v>insert into employee values (39, 'Pamela Mora', 111433, 'Revenue Cycle Analyst', NULL);</v>
      </c>
      <c r="H40" s="2" t="str">
        <f t="shared" si="2"/>
        <v>insert into employee values (39, 'Pamela Mora', 111433, 'Revenue Cycle Analyst', NULL);</v>
      </c>
      <c r="I40" s="2" t="str">
        <f t="shared" si="3"/>
        <v>update employee set supervisorid = 29 where empid = 39;</v>
      </c>
      <c r="J40" s="3" t="str">
        <f t="shared" si="4"/>
        <v>insert into employee values (39, 'Pamela Mora', 111433, 'Revenue Cycle Analyst', 29);</v>
      </c>
      <c r="K40" s="2" t="str">
        <f t="shared" si="5"/>
        <v>insert into employee values (39, 'Pamela Mora', 111433, 'Revenue Cycle Analyst', 29);</v>
      </c>
    </row>
    <row r="41" spans="1:11" x14ac:dyDescent="0.35">
      <c r="A41">
        <v>40</v>
      </c>
      <c r="B41" t="s">
        <v>441</v>
      </c>
      <c r="C41">
        <v>193065</v>
      </c>
      <c r="D41" t="s">
        <v>442</v>
      </c>
      <c r="E41">
        <v>49</v>
      </c>
      <c r="F41" t="str">
        <f t="shared" si="0"/>
        <v>Eric Sullivan</v>
      </c>
      <c r="G41" s="3" t="str">
        <f t="shared" si="1"/>
        <v>insert into employee values (40, 'Eric Sullivan', 193065, 'Transportation Clerk', NULL);</v>
      </c>
      <c r="H41" s="2" t="str">
        <f t="shared" si="2"/>
        <v>insert into employee values (40, 'Eric Sullivan', 193065, 'Transportation Clerk', NULL);</v>
      </c>
      <c r="I41" s="2" t="str">
        <f t="shared" si="3"/>
        <v>update employee set supervisorid = 49 where empid = 40;</v>
      </c>
      <c r="J41" s="3" t="str">
        <f t="shared" si="4"/>
        <v>insert into employee values (40, 'Eric Sullivan', 193065, 'Transportation Clerk', 49);</v>
      </c>
      <c r="K41" s="2" t="str">
        <f t="shared" si="5"/>
        <v>insert into employee values (40, 'Eric Sullivan', 193065, 'Transportation Clerk', 49);</v>
      </c>
    </row>
    <row r="42" spans="1:11" x14ac:dyDescent="0.35">
      <c r="A42">
        <v>41</v>
      </c>
      <c r="B42" t="s">
        <v>443</v>
      </c>
      <c r="C42">
        <v>92272</v>
      </c>
      <c r="D42" t="s">
        <v>444</v>
      </c>
      <c r="E42">
        <v>29</v>
      </c>
      <c r="F42" t="str">
        <f t="shared" si="0"/>
        <v>Fred Olson</v>
      </c>
      <c r="G42" s="3" t="str">
        <f t="shared" si="1"/>
        <v>insert into employee values (41, 'Fred Olson', 92272, 'Technical Support Engineer', NULL);</v>
      </c>
      <c r="H42" s="2" t="str">
        <f t="shared" si="2"/>
        <v>insert into employee values (41, 'Fred Olson', 92272, 'Technical Support Engineer', NULL);</v>
      </c>
      <c r="I42" s="2" t="str">
        <f t="shared" si="3"/>
        <v>update employee set supervisorid = 29 where empid = 41;</v>
      </c>
      <c r="J42" s="3" t="str">
        <f t="shared" si="4"/>
        <v>insert into employee values (41, 'Fred Olson', 92272, 'Technical Support Engineer', 29);</v>
      </c>
      <c r="K42" s="2" t="str">
        <f t="shared" si="5"/>
        <v>insert into employee values (41, 'Fred Olson', 92272, 'Technical Support Engineer', 29);</v>
      </c>
    </row>
    <row r="43" spans="1:11" x14ac:dyDescent="0.35">
      <c r="A43">
        <v>42</v>
      </c>
      <c r="B43" t="s">
        <v>445</v>
      </c>
      <c r="C43">
        <v>88226</v>
      </c>
      <c r="D43" t="s">
        <v>446</v>
      </c>
      <c r="E43">
        <v>50</v>
      </c>
      <c r="F43" t="str">
        <f t="shared" si="0"/>
        <v>Malcolm Sandoval</v>
      </c>
      <c r="G43" s="3" t="str">
        <f t="shared" si="1"/>
        <v>insert into employee values (42, 'Malcolm Sandoval', 88226, 'Erp Consultant', NULL);</v>
      </c>
      <c r="H43" s="2" t="str">
        <f t="shared" si="2"/>
        <v>insert into employee values (42, 'Malcolm Sandoval', 88226, 'Erp Consultant', NULL);</v>
      </c>
      <c r="I43" s="2" t="str">
        <f t="shared" si="3"/>
        <v>update employee set supervisorid = 50 where empid = 42;</v>
      </c>
      <c r="J43" s="3" t="str">
        <f t="shared" si="4"/>
        <v>insert into employee values (42, 'Malcolm Sandoval', 88226, 'Erp Consultant', 50);</v>
      </c>
      <c r="K43" s="2" t="str">
        <f t="shared" si="5"/>
        <v>insert into employee values (42, 'Malcolm Sandoval', 88226, 'Erp Consultant', 50);</v>
      </c>
    </row>
    <row r="44" spans="1:11" x14ac:dyDescent="0.35">
      <c r="A44">
        <v>43</v>
      </c>
      <c r="B44" t="s">
        <v>447</v>
      </c>
      <c r="C44">
        <v>52953</v>
      </c>
      <c r="D44" t="s">
        <v>448</v>
      </c>
      <c r="E44">
        <v>34</v>
      </c>
      <c r="F44" t="str">
        <f t="shared" si="0"/>
        <v>Keri Scott</v>
      </c>
      <c r="G44" s="3" t="str">
        <f t="shared" si="1"/>
        <v>insert into employee values (43, 'Keri Scott', 52953, 'Research Officer', NULL);</v>
      </c>
      <c r="H44" s="2" t="str">
        <f t="shared" si="2"/>
        <v>insert into employee values (43, 'Keri Scott', 52953, 'Research Officer', NULL);</v>
      </c>
      <c r="I44" s="2" t="str">
        <f t="shared" si="3"/>
        <v>update employee set supervisorid = 34 where empid = 43;</v>
      </c>
      <c r="J44" s="3" t="str">
        <f t="shared" si="4"/>
        <v>insert into employee values (43, 'Keri Scott', 52953, 'Research Officer', 34);</v>
      </c>
      <c r="K44" s="2" t="str">
        <f t="shared" si="5"/>
        <v>insert into employee values (43, 'Keri Scott', 52953, 'Research Officer', 34);</v>
      </c>
    </row>
    <row r="45" spans="1:11" x14ac:dyDescent="0.35">
      <c r="A45">
        <v>44</v>
      </c>
      <c r="B45" t="s">
        <v>449</v>
      </c>
      <c r="C45">
        <v>88948</v>
      </c>
      <c r="D45" t="s">
        <v>450</v>
      </c>
      <c r="E45">
        <v>49</v>
      </c>
      <c r="F45" t="str">
        <f t="shared" si="0"/>
        <v>Katherine Buchanan</v>
      </c>
      <c r="G45" s="3" t="str">
        <f t="shared" si="1"/>
        <v>insert into employee values (44, 'Katherine Buchanan', 88948, 'Radiologic Technologist', NULL);</v>
      </c>
      <c r="H45" s="2" t="str">
        <f t="shared" si="2"/>
        <v>insert into employee values (44, 'Katherine Buchanan', 88948, 'Radiologic Technologist', NULL);</v>
      </c>
      <c r="I45" s="2" t="str">
        <f t="shared" si="3"/>
        <v>update employee set supervisorid = 49 where empid = 44;</v>
      </c>
      <c r="J45" s="3" t="str">
        <f t="shared" si="4"/>
        <v>insert into employee values (44, 'Katherine Buchanan', 88948, 'Radiologic Technologist', 49);</v>
      </c>
      <c r="K45" s="2" t="str">
        <f t="shared" si="5"/>
        <v>insert into employee values (44, 'Katherine Buchanan', 88948, 'Radiologic Technologist', 49);</v>
      </c>
    </row>
    <row r="46" spans="1:11" x14ac:dyDescent="0.35">
      <c r="A46">
        <v>45</v>
      </c>
      <c r="B46" t="s">
        <v>451</v>
      </c>
      <c r="C46">
        <v>161128</v>
      </c>
      <c r="D46" t="s">
        <v>452</v>
      </c>
      <c r="E46">
        <v>21</v>
      </c>
      <c r="F46" t="str">
        <f t="shared" si="0"/>
        <v>Rachael Juarez</v>
      </c>
      <c r="G46" s="3" t="str">
        <f t="shared" si="1"/>
        <v>insert into employee values (45, 'Rachael Juarez', 161128, 'Loss Prevention Investigator', NULL);</v>
      </c>
      <c r="H46" s="2" t="str">
        <f t="shared" si="2"/>
        <v>insert into employee values (45, 'Rachael Juarez', 161128, 'Loss Prevention Investigator', NULL);</v>
      </c>
      <c r="I46" s="2" t="str">
        <f t="shared" si="3"/>
        <v>update employee set supervisorid = 21 where empid = 45;</v>
      </c>
      <c r="J46" s="3" t="str">
        <f t="shared" si="4"/>
        <v>insert into employee values (45, 'Rachael Juarez', 161128, 'Loss Prevention Investigator', 21);</v>
      </c>
      <c r="K46" s="2" t="str">
        <f t="shared" si="5"/>
        <v>insert into employee values (45, 'Rachael Juarez', 161128, 'Loss Prevention Investigator', 21);</v>
      </c>
    </row>
    <row r="47" spans="1:11" x14ac:dyDescent="0.35">
      <c r="A47">
        <v>46</v>
      </c>
      <c r="B47" t="s">
        <v>453</v>
      </c>
      <c r="C47">
        <v>65995</v>
      </c>
      <c r="D47" t="s">
        <v>454</v>
      </c>
      <c r="E47">
        <v>30</v>
      </c>
      <c r="F47" t="str">
        <f t="shared" si="0"/>
        <v>Brock Watts</v>
      </c>
      <c r="G47" s="3" t="str">
        <f t="shared" si="1"/>
        <v>insert into employee values (46, 'Brock Watts', 65995, 'Engineering Supervisor', NULL);</v>
      </c>
      <c r="H47" s="2" t="str">
        <f t="shared" si="2"/>
        <v>insert into employee values (46, 'Brock Watts', 65995, 'Engineering Supervisor', NULL);</v>
      </c>
      <c r="I47" s="2" t="str">
        <f t="shared" si="3"/>
        <v>update employee set supervisorid = 30 where empid = 46;</v>
      </c>
      <c r="J47" s="3" t="str">
        <f t="shared" si="4"/>
        <v>insert into employee values (46, 'Brock Watts', 65995, 'Engineering Supervisor', 30);</v>
      </c>
      <c r="K47" s="2" t="str">
        <f t="shared" si="5"/>
        <v>insert into employee values (46, 'Brock Watts', 65995, 'Engineering Supervisor', 30);</v>
      </c>
    </row>
    <row r="48" spans="1:11" x14ac:dyDescent="0.35">
      <c r="A48">
        <v>47</v>
      </c>
      <c r="B48" t="s">
        <v>455</v>
      </c>
      <c r="C48">
        <v>168635</v>
      </c>
      <c r="D48" t="s">
        <v>456</v>
      </c>
      <c r="E48">
        <v>34</v>
      </c>
      <c r="F48" t="str">
        <f t="shared" si="0"/>
        <v>Jacob Tyler</v>
      </c>
      <c r="G48" s="3" t="str">
        <f t="shared" si="1"/>
        <v>insert into employee values (47, 'Jacob Tyler', 168635, 'Gis Specialist', NULL);</v>
      </c>
      <c r="H48" s="2" t="str">
        <f t="shared" si="2"/>
        <v>insert into employee values (47, 'Jacob Tyler', 168635, 'Gis Specialist', NULL);</v>
      </c>
      <c r="I48" s="2" t="str">
        <f t="shared" si="3"/>
        <v>update employee set supervisorid = 34 where empid = 47;</v>
      </c>
      <c r="J48" s="3" t="str">
        <f t="shared" si="4"/>
        <v>insert into employee values (47, 'Jacob Tyler', 168635, 'Gis Specialist', 34);</v>
      </c>
      <c r="K48" s="2" t="str">
        <f t="shared" si="5"/>
        <v>insert into employee values (47, 'Jacob Tyler', 168635, 'Gis Specialist', 34);</v>
      </c>
    </row>
    <row r="49" spans="1:11" x14ac:dyDescent="0.35">
      <c r="A49">
        <v>48</v>
      </c>
      <c r="B49" t="s">
        <v>457</v>
      </c>
      <c r="C49">
        <v>135844</v>
      </c>
      <c r="D49" t="s">
        <v>458</v>
      </c>
      <c r="E49">
        <v>26</v>
      </c>
      <c r="F49" t="str">
        <f t="shared" si="0"/>
        <v>Cory Warren</v>
      </c>
      <c r="G49" s="3" t="str">
        <f t="shared" si="1"/>
        <v>insert into employee values (48, 'Cory Warren', 135844, 'Jde Developer', NULL);</v>
      </c>
      <c r="H49" s="2" t="str">
        <f t="shared" si="2"/>
        <v>insert into employee values (48, 'Cory Warren', 135844, 'Jde Developer', NULL);</v>
      </c>
      <c r="I49" s="2" t="str">
        <f t="shared" si="3"/>
        <v>update employee set supervisorid = 26 where empid = 48;</v>
      </c>
      <c r="J49" s="3" t="str">
        <f t="shared" si="4"/>
        <v>insert into employee values (48, 'Cory Warren', 135844, 'Jde Developer', 26);</v>
      </c>
      <c r="K49" s="2" t="str">
        <f t="shared" si="5"/>
        <v>insert into employee values (48, 'Cory Warren', 135844, 'Jde Developer', 26);</v>
      </c>
    </row>
    <row r="50" spans="1:11" x14ac:dyDescent="0.35">
      <c r="A50">
        <v>49</v>
      </c>
      <c r="B50" t="s">
        <v>459</v>
      </c>
      <c r="C50">
        <v>112839</v>
      </c>
      <c r="D50" t="s">
        <v>460</v>
      </c>
      <c r="E50">
        <v>29</v>
      </c>
      <c r="F50" t="str">
        <f t="shared" si="0"/>
        <v>Ivan Padilla</v>
      </c>
      <c r="G50" s="3" t="str">
        <f t="shared" si="1"/>
        <v>insert into employee values (49, 'Ivan Padilla', 112839, 'Immigration Attorney', NULL);</v>
      </c>
      <c r="H50" s="2" t="str">
        <f t="shared" si="2"/>
        <v>insert into employee values (49, 'Ivan Padilla', 112839, 'Immigration Attorney', NULL);</v>
      </c>
      <c r="I50" s="2" t="str">
        <f t="shared" si="3"/>
        <v>update employee set supervisorid = 29 where empid = 49;</v>
      </c>
      <c r="J50" s="3" t="str">
        <f t="shared" si="4"/>
        <v>insert into employee values (49, 'Ivan Padilla', 112839, 'Immigration Attorney', 29);</v>
      </c>
      <c r="K50" s="2" t="str">
        <f t="shared" si="5"/>
        <v>insert into employee values (49, 'Ivan Padilla', 112839, 'Immigration Attorney', 29);</v>
      </c>
    </row>
    <row r="51" spans="1:11" x14ac:dyDescent="0.35">
      <c r="A51">
        <v>50</v>
      </c>
      <c r="B51" t="s">
        <v>461</v>
      </c>
      <c r="C51">
        <v>75278</v>
      </c>
      <c r="D51" t="s">
        <v>462</v>
      </c>
      <c r="E51">
        <v>26</v>
      </c>
      <c r="F51" t="str">
        <f t="shared" si="0"/>
        <v>Brandie Pineda</v>
      </c>
      <c r="G51" s="3" t="str">
        <f t="shared" si="1"/>
        <v>insert into employee values (50, 'Brandie Pineda', 75278, 'Accounts Receivable Supervisor', NULL);</v>
      </c>
      <c r="H51" s="2" t="str">
        <f t="shared" si="2"/>
        <v>insert into employee values (50, 'Brandie Pineda', 75278, 'Accounts Receivable Supervisor', NULL);</v>
      </c>
      <c r="I51" s="2" t="str">
        <f t="shared" si="3"/>
        <v>update employee set supervisorid = 26 where empid = 50;</v>
      </c>
      <c r="J51" s="3" t="str">
        <f t="shared" si="4"/>
        <v>insert into employee values (50, 'Brandie Pineda', 75278, 'Accounts Receivable Supervisor', 26);</v>
      </c>
      <c r="K51" s="2" t="str">
        <f t="shared" si="5"/>
        <v>insert into employee values (50, 'Brandie Pineda', 75278, 'Accounts Receivable Supervisor', 26);</v>
      </c>
    </row>
    <row r="52" spans="1:11" x14ac:dyDescent="0.35">
      <c r="A52" t="s">
        <v>585</v>
      </c>
      <c r="B52" t="s">
        <v>584</v>
      </c>
      <c r="C52" t="s">
        <v>585</v>
      </c>
      <c r="D52" t="s">
        <v>585</v>
      </c>
      <c r="E52" t="s">
        <v>585</v>
      </c>
      <c r="H52" t="str">
        <f t="shared" si="2"/>
        <v/>
      </c>
    </row>
    <row r="53" spans="1:11" x14ac:dyDescent="0.35">
      <c r="A53" t="s">
        <v>581</v>
      </c>
      <c r="C53" t="s">
        <v>581</v>
      </c>
      <c r="E53" t="s">
        <v>581</v>
      </c>
      <c r="H53" t="str">
        <f t="shared" si="2"/>
        <v/>
      </c>
    </row>
    <row r="54" spans="1:11" x14ac:dyDescent="0.35">
      <c r="B54" cm="1">
        <f t="array" ref="B54">MAX(LEN(B2:B51))</f>
        <v>18</v>
      </c>
      <c r="D54" cm="1">
        <f t="array" ref="D54">MAX(LEN(D2:D51))</f>
        <v>30</v>
      </c>
      <c r="H54" t="str">
        <f t="shared" si="2"/>
        <v/>
      </c>
    </row>
    <row r="56" spans="1:11" x14ac:dyDescent="0.35">
      <c r="B56" cm="1">
        <f t="array" ref="B56">MIN(LEN(B2:B51))</f>
        <v>4</v>
      </c>
      <c r="D56" cm="1">
        <f t="array" ref="D56">MIN(LEN(D2:D51))</f>
        <v>6</v>
      </c>
    </row>
    <row r="57" spans="1:11" x14ac:dyDescent="0.35">
      <c r="B57" t="s">
        <v>577</v>
      </c>
      <c r="D57" t="s">
        <v>570</v>
      </c>
    </row>
  </sheetData>
  <pageMargins left="0.7" right="0.7" top="0.75" bottom="0.75" header="0.3" footer="0.3"/>
  <pageSetup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24B6A-36D1-4540-904A-DE09E2B929EC}">
  <dimension ref="A1:F55"/>
  <sheetViews>
    <sheetView workbookViewId="0">
      <selection activeCell="D62" sqref="D62"/>
    </sheetView>
  </sheetViews>
  <sheetFormatPr defaultRowHeight="14.5" x14ac:dyDescent="0.35"/>
  <cols>
    <col min="1" max="1" width="6.7265625" bestFit="1" customWidth="1"/>
    <col min="2" max="2" width="18.81640625" bestFit="1" customWidth="1"/>
    <col min="3" max="3" width="7" bestFit="1" customWidth="1"/>
    <col min="4" max="4" width="30.1796875" bestFit="1" customWidth="1"/>
    <col min="5" max="5" width="16.81640625" bestFit="1" customWidth="1"/>
    <col min="6" max="6" width="88.90625" bestFit="1" customWidth="1"/>
  </cols>
  <sheetData>
    <row r="1" spans="1:6" x14ac:dyDescent="0.35">
      <c r="A1" t="s">
        <v>361</v>
      </c>
      <c r="B1" t="s">
        <v>198</v>
      </c>
      <c r="C1" t="s">
        <v>362</v>
      </c>
      <c r="D1" t="s">
        <v>363</v>
      </c>
    </row>
    <row r="2" spans="1:6" x14ac:dyDescent="0.35">
      <c r="A2">
        <v>25</v>
      </c>
      <c r="B2" t="s">
        <v>463</v>
      </c>
      <c r="C2">
        <v>109714</v>
      </c>
      <c r="D2" t="s">
        <v>464</v>
      </c>
      <c r="E2" t="str">
        <f>SUBSTITUTE(B2, "'", "''")</f>
        <v>Kristina Cardenas</v>
      </c>
      <c r="F2" s="2" t="str">
        <f>"insert into historical.employee values ("&amp;A2&amp;", '"&amp;E2&amp;"', "&amp;C2&amp;", '"&amp;D2&amp;"');"</f>
        <v>insert into historical.employee values (25, 'Kristina Cardenas', 109714, 'Leasing Associate');</v>
      </c>
    </row>
    <row r="3" spans="1:6" x14ac:dyDescent="0.35">
      <c r="A3">
        <v>40</v>
      </c>
      <c r="B3" t="s">
        <v>465</v>
      </c>
      <c r="C3">
        <v>194936</v>
      </c>
      <c r="D3" t="s">
        <v>466</v>
      </c>
      <c r="E3" t="str">
        <f t="shared" ref="E3:E51" si="0">SUBSTITUTE(B3, "'", "''")</f>
        <v>Nick Robbins</v>
      </c>
      <c r="F3" s="2" t="str">
        <f t="shared" ref="F3:F51" si="1">"insert into historical.employee values ("&amp;A3&amp;", '"&amp;E3&amp;"', "&amp;C3&amp;", '"&amp;D3&amp;"');"</f>
        <v>insert into historical.employee values (40, 'Nick Robbins', 194936, 'Sonar Technician');</v>
      </c>
    </row>
    <row r="4" spans="1:6" x14ac:dyDescent="0.35">
      <c r="A4">
        <v>44</v>
      </c>
      <c r="B4" t="s">
        <v>467</v>
      </c>
      <c r="C4">
        <v>182873</v>
      </c>
      <c r="D4" t="s">
        <v>468</v>
      </c>
      <c r="E4" t="str">
        <f t="shared" si="0"/>
        <v>Kim Pace</v>
      </c>
      <c r="F4" s="2" t="str">
        <f t="shared" si="1"/>
        <v>insert into historical.employee values (44, 'Kim Pace', 182873, 'Professional Nurse');</v>
      </c>
    </row>
    <row r="5" spans="1:6" x14ac:dyDescent="0.35">
      <c r="A5">
        <v>47</v>
      </c>
      <c r="B5" t="s">
        <v>469</v>
      </c>
      <c r="C5">
        <v>68953</v>
      </c>
      <c r="D5" t="s">
        <v>470</v>
      </c>
      <c r="E5" t="str">
        <f t="shared" si="0"/>
        <v>Roderick Morrow</v>
      </c>
      <c r="F5" s="2" t="str">
        <f t="shared" si="1"/>
        <v>insert into historical.employee values (47, 'Roderick Morrow', 68953, 'Taxi Driver');</v>
      </c>
    </row>
    <row r="6" spans="1:6" x14ac:dyDescent="0.35">
      <c r="A6">
        <v>50</v>
      </c>
      <c r="B6" t="s">
        <v>471</v>
      </c>
      <c r="C6">
        <v>163145</v>
      </c>
      <c r="D6" t="s">
        <v>472</v>
      </c>
      <c r="E6" t="str">
        <f t="shared" si="0"/>
        <v>Lea Arias</v>
      </c>
      <c r="F6" s="2" t="str">
        <f t="shared" si="1"/>
        <v>insert into historical.employee values (50, 'Lea Arias', 163145, 'Housing Counselor');</v>
      </c>
    </row>
    <row r="7" spans="1:6" x14ac:dyDescent="0.35">
      <c r="A7">
        <v>74</v>
      </c>
      <c r="B7" t="s">
        <v>473</v>
      </c>
      <c r="C7">
        <v>108091</v>
      </c>
      <c r="D7" t="s">
        <v>474</v>
      </c>
      <c r="E7" t="str">
        <f t="shared" si="0"/>
        <v>Carmen Blackburn</v>
      </c>
      <c r="F7" s="2" t="str">
        <f t="shared" si="1"/>
        <v>insert into historical.employee values (74, 'Carmen Blackburn', 108091, 'Hse Coordinator');</v>
      </c>
    </row>
    <row r="8" spans="1:6" x14ac:dyDescent="0.35">
      <c r="A8">
        <v>90</v>
      </c>
      <c r="B8" t="s">
        <v>475</v>
      </c>
      <c r="C8">
        <v>85069</v>
      </c>
      <c r="D8" t="s">
        <v>476</v>
      </c>
      <c r="E8" t="str">
        <f t="shared" si="0"/>
        <v>Jocelyn Giles</v>
      </c>
      <c r="F8" s="2" t="str">
        <f t="shared" si="1"/>
        <v>insert into historical.employee values (90, 'Jocelyn Giles', 85069, 'Budget Analyst');</v>
      </c>
    </row>
    <row r="9" spans="1:6" x14ac:dyDescent="0.35">
      <c r="A9">
        <v>91</v>
      </c>
      <c r="B9" t="s">
        <v>477</v>
      </c>
      <c r="C9">
        <v>77387</v>
      </c>
      <c r="D9" t="s">
        <v>384</v>
      </c>
      <c r="E9" t="str">
        <f t="shared" si="0"/>
        <v>Tami Heath</v>
      </c>
      <c r="F9" s="2" t="str">
        <f t="shared" si="1"/>
        <v>insert into historical.employee values (91, 'Tami Heath', 77387, 'Home Inspector');</v>
      </c>
    </row>
    <row r="10" spans="1:6" x14ac:dyDescent="0.35">
      <c r="A10">
        <v>118</v>
      </c>
      <c r="B10" t="s">
        <v>478</v>
      </c>
      <c r="C10">
        <v>113198</v>
      </c>
      <c r="D10" t="s">
        <v>479</v>
      </c>
      <c r="E10" t="str">
        <f t="shared" si="0"/>
        <v>Annette Gardner</v>
      </c>
      <c r="F10" s="2" t="str">
        <f t="shared" si="1"/>
        <v>insert into historical.employee values (118, 'Annette Gardner', 113198, 'Architectural Draftsman');</v>
      </c>
    </row>
    <row r="11" spans="1:6" x14ac:dyDescent="0.35">
      <c r="A11">
        <v>122</v>
      </c>
      <c r="B11" t="s">
        <v>480</v>
      </c>
      <c r="C11">
        <v>154416</v>
      </c>
      <c r="D11" t="s">
        <v>481</v>
      </c>
      <c r="E11" t="str">
        <f t="shared" si="0"/>
        <v>Yolanda Haney</v>
      </c>
      <c r="F11" s="2" t="str">
        <f t="shared" si="1"/>
        <v>insert into historical.employee values (122, 'Yolanda Haney', 154416, 'Parts Manager');</v>
      </c>
    </row>
    <row r="12" spans="1:6" x14ac:dyDescent="0.35">
      <c r="A12">
        <v>130</v>
      </c>
      <c r="B12" t="s">
        <v>482</v>
      </c>
      <c r="C12">
        <v>98421</v>
      </c>
      <c r="D12" t="s">
        <v>483</v>
      </c>
      <c r="E12" t="str">
        <f t="shared" si="0"/>
        <v>Clifton Reyes</v>
      </c>
      <c r="F12" s="2" t="str">
        <f t="shared" si="1"/>
        <v>insert into historical.employee values (130, 'Clifton Reyes', 98421, 'Child Care Worker');</v>
      </c>
    </row>
    <row r="13" spans="1:6" x14ac:dyDescent="0.35">
      <c r="A13">
        <v>142</v>
      </c>
      <c r="B13" t="s">
        <v>484</v>
      </c>
      <c r="C13">
        <v>55897</v>
      </c>
      <c r="D13" t="s">
        <v>485</v>
      </c>
      <c r="E13" t="str">
        <f t="shared" si="0"/>
        <v>Shari Brewer</v>
      </c>
      <c r="F13" s="2" t="str">
        <f t="shared" si="1"/>
        <v>insert into historical.employee values (142, 'Shari Brewer', 55897, 'Chemical Engineer');</v>
      </c>
    </row>
    <row r="14" spans="1:6" x14ac:dyDescent="0.35">
      <c r="A14">
        <v>144</v>
      </c>
      <c r="B14" t="s">
        <v>486</v>
      </c>
      <c r="C14">
        <v>124613</v>
      </c>
      <c r="D14" t="s">
        <v>386</v>
      </c>
      <c r="E14" t="str">
        <f t="shared" si="0"/>
        <v>Donnie Branch</v>
      </c>
      <c r="F14" s="2" t="str">
        <f t="shared" si="1"/>
        <v>insert into historical.employee values (144, 'Donnie Branch', 124613, 'Network Administrator');</v>
      </c>
    </row>
    <row r="15" spans="1:6" x14ac:dyDescent="0.35">
      <c r="A15">
        <v>150</v>
      </c>
      <c r="B15" t="s">
        <v>487</v>
      </c>
      <c r="C15">
        <v>182014</v>
      </c>
      <c r="D15" t="s">
        <v>488</v>
      </c>
      <c r="E15" t="str">
        <f t="shared" si="0"/>
        <v>Sonya Mc Dowell</v>
      </c>
      <c r="F15" s="2" t="str">
        <f t="shared" si="1"/>
        <v>insert into historical.employee values (150, 'Sonya Mc Dowell', 182014, 'Recreation Coordinator');</v>
      </c>
    </row>
    <row r="16" spans="1:6" x14ac:dyDescent="0.35">
      <c r="A16">
        <v>153</v>
      </c>
      <c r="B16" t="s">
        <v>489</v>
      </c>
      <c r="C16">
        <v>95441</v>
      </c>
      <c r="D16" t="s">
        <v>426</v>
      </c>
      <c r="E16" t="str">
        <f t="shared" si="0"/>
        <v>Jo Benton</v>
      </c>
      <c r="F16" s="2" t="str">
        <f t="shared" si="1"/>
        <v>insert into historical.employee values (153, 'Jo Benton', 95441, 'Field Marketing Manager');</v>
      </c>
    </row>
    <row r="17" spans="1:6" x14ac:dyDescent="0.35">
      <c r="A17">
        <v>155</v>
      </c>
      <c r="B17" t="s">
        <v>490</v>
      </c>
      <c r="C17">
        <v>159842</v>
      </c>
      <c r="D17" t="s">
        <v>491</v>
      </c>
      <c r="E17" t="str">
        <f t="shared" si="0"/>
        <v>Barry Reed</v>
      </c>
      <c r="F17" s="2" t="str">
        <f t="shared" si="1"/>
        <v>insert into historical.employee values (155, 'Barry Reed', 159842, 'Team Manager');</v>
      </c>
    </row>
    <row r="18" spans="1:6" x14ac:dyDescent="0.35">
      <c r="A18">
        <v>157</v>
      </c>
      <c r="B18" t="s">
        <v>492</v>
      </c>
      <c r="C18">
        <v>132521</v>
      </c>
      <c r="D18" t="s">
        <v>493</v>
      </c>
      <c r="E18" t="str">
        <f t="shared" si="0"/>
        <v>Bart Krueger</v>
      </c>
      <c r="F18" s="2" t="str">
        <f t="shared" si="1"/>
        <v>insert into historical.employee values (157, 'Bart Krueger', 132521, 'Warehouseman');</v>
      </c>
    </row>
    <row r="19" spans="1:6" x14ac:dyDescent="0.35">
      <c r="A19">
        <v>158</v>
      </c>
      <c r="B19" t="s">
        <v>494</v>
      </c>
      <c r="C19">
        <v>133478</v>
      </c>
      <c r="D19" t="s">
        <v>495</v>
      </c>
      <c r="E19" t="str">
        <f t="shared" si="0"/>
        <v>Everett Rocha</v>
      </c>
      <c r="F19" s="2" t="str">
        <f t="shared" si="1"/>
        <v>insert into historical.employee values (158, 'Everett Rocha', 133478, 'Content Developer');</v>
      </c>
    </row>
    <row r="20" spans="1:6" x14ac:dyDescent="0.35">
      <c r="A20">
        <v>159</v>
      </c>
      <c r="B20" t="s">
        <v>496</v>
      </c>
      <c r="C20">
        <v>191486</v>
      </c>
      <c r="D20" t="s">
        <v>497</v>
      </c>
      <c r="E20" t="str">
        <f t="shared" si="0"/>
        <v>Randal Reese</v>
      </c>
      <c r="F20" s="2" t="str">
        <f t="shared" si="1"/>
        <v>insert into historical.employee values (159, 'Randal Reese', 191486, 'Integration Consultant');</v>
      </c>
    </row>
    <row r="21" spans="1:6" x14ac:dyDescent="0.35">
      <c r="A21">
        <v>168</v>
      </c>
      <c r="B21" t="s">
        <v>498</v>
      </c>
      <c r="C21">
        <v>130055</v>
      </c>
      <c r="D21" t="s">
        <v>499</v>
      </c>
      <c r="E21" t="str">
        <f t="shared" si="0"/>
        <v>Kenneth Colon</v>
      </c>
      <c r="F21" s="2" t="str">
        <f t="shared" si="1"/>
        <v>insert into historical.employee values (168, 'Kenneth Colon', 130055, 'Barback');</v>
      </c>
    </row>
    <row r="22" spans="1:6" x14ac:dyDescent="0.35">
      <c r="A22">
        <v>170</v>
      </c>
      <c r="B22" t="s">
        <v>500</v>
      </c>
      <c r="C22">
        <v>133787</v>
      </c>
      <c r="D22" t="s">
        <v>501</v>
      </c>
      <c r="E22" t="str">
        <f t="shared" si="0"/>
        <v>Colby Chaney</v>
      </c>
      <c r="F22" s="2" t="str">
        <f t="shared" si="1"/>
        <v>insert into historical.employee values (170, 'Colby Chaney', 133787, 'Senior Operations Manager');</v>
      </c>
    </row>
    <row r="23" spans="1:6" x14ac:dyDescent="0.35">
      <c r="A23">
        <v>176</v>
      </c>
      <c r="B23" t="s">
        <v>502</v>
      </c>
      <c r="C23">
        <v>50237</v>
      </c>
      <c r="D23" t="s">
        <v>503</v>
      </c>
      <c r="E23" t="str">
        <f t="shared" si="0"/>
        <v>Erick Edwards</v>
      </c>
      <c r="F23" s="2" t="str">
        <f t="shared" si="1"/>
        <v>insert into historical.employee values (176, 'Erick Edwards', 50237, 'Sat Tutor');</v>
      </c>
    </row>
    <row r="24" spans="1:6" x14ac:dyDescent="0.35">
      <c r="A24">
        <v>181</v>
      </c>
      <c r="B24" t="s">
        <v>504</v>
      </c>
      <c r="C24">
        <v>151732</v>
      </c>
      <c r="D24" t="s">
        <v>505</v>
      </c>
      <c r="E24" t="str">
        <f t="shared" si="0"/>
        <v>Tabatha O''Connor</v>
      </c>
      <c r="F24" s="2" t="str">
        <f t="shared" si="1"/>
        <v>insert into historical.employee values (181, 'Tabatha O''Connor', 151732, 'Hospitality Associate');</v>
      </c>
    </row>
    <row r="25" spans="1:6" x14ac:dyDescent="0.35">
      <c r="A25">
        <v>200</v>
      </c>
      <c r="B25" t="s">
        <v>506</v>
      </c>
      <c r="C25">
        <v>142630</v>
      </c>
      <c r="D25" t="s">
        <v>507</v>
      </c>
      <c r="E25" t="str">
        <f t="shared" si="0"/>
        <v>Trevor Fischer</v>
      </c>
      <c r="F25" s="2" t="str">
        <f t="shared" si="1"/>
        <v>insert into historical.employee values (200, 'Trevor Fischer', 142630, 'Quality Assurance Assistant');</v>
      </c>
    </row>
    <row r="26" spans="1:6" x14ac:dyDescent="0.35">
      <c r="A26">
        <v>201</v>
      </c>
      <c r="B26" t="s">
        <v>508</v>
      </c>
      <c r="C26">
        <v>104259</v>
      </c>
      <c r="D26" t="s">
        <v>380</v>
      </c>
      <c r="E26" t="str">
        <f t="shared" si="0"/>
        <v>Abel Chambers</v>
      </c>
      <c r="F26" s="2" t="str">
        <f t="shared" si="1"/>
        <v>insert into historical.employee values (201, 'Abel Chambers', 104259, 'Senior Project Engineer');</v>
      </c>
    </row>
    <row r="27" spans="1:6" x14ac:dyDescent="0.35">
      <c r="A27">
        <v>209</v>
      </c>
      <c r="B27" t="s">
        <v>509</v>
      </c>
      <c r="C27">
        <v>81800</v>
      </c>
      <c r="D27" t="s">
        <v>510</v>
      </c>
      <c r="E27" t="str">
        <f t="shared" si="0"/>
        <v>John Ellison</v>
      </c>
      <c r="F27" s="2" t="str">
        <f t="shared" si="1"/>
        <v>insert into historical.employee values (209, 'John Ellison', 81800, 'Document Controller');</v>
      </c>
    </row>
    <row r="28" spans="1:6" x14ac:dyDescent="0.35">
      <c r="A28">
        <v>214</v>
      </c>
      <c r="B28" t="s">
        <v>511</v>
      </c>
      <c r="C28">
        <v>87920</v>
      </c>
      <c r="D28" t="s">
        <v>512</v>
      </c>
      <c r="E28" t="str">
        <f t="shared" si="0"/>
        <v>Demetrius Collier</v>
      </c>
      <c r="F28" s="2" t="str">
        <f t="shared" si="1"/>
        <v>insert into historical.employee values (214, 'Demetrius Collier', 87920, 'Support Manager');</v>
      </c>
    </row>
    <row r="29" spans="1:6" x14ac:dyDescent="0.35">
      <c r="A29">
        <v>219</v>
      </c>
      <c r="B29" t="s">
        <v>513</v>
      </c>
      <c r="C29">
        <v>63899</v>
      </c>
      <c r="D29" t="s">
        <v>514</v>
      </c>
      <c r="E29" t="str">
        <f t="shared" si="0"/>
        <v>Amber Ibarra</v>
      </c>
      <c r="F29" s="2" t="str">
        <f t="shared" si="1"/>
        <v>insert into historical.employee values (219, 'Amber Ibarra', 63899, 'Accounting Assistant');</v>
      </c>
    </row>
    <row r="30" spans="1:6" x14ac:dyDescent="0.35">
      <c r="A30">
        <v>238</v>
      </c>
      <c r="B30" t="s">
        <v>515</v>
      </c>
      <c r="C30">
        <v>75084</v>
      </c>
      <c r="D30" t="s">
        <v>516</v>
      </c>
      <c r="E30" t="str">
        <f t="shared" si="0"/>
        <v>Claudia Richardson</v>
      </c>
      <c r="F30" s="2" t="str">
        <f t="shared" si="1"/>
        <v>insert into historical.employee values (238, 'Claudia Richardson', 75084, 'Information Security Engineer');</v>
      </c>
    </row>
    <row r="31" spans="1:6" x14ac:dyDescent="0.35">
      <c r="A31">
        <v>242</v>
      </c>
      <c r="B31" t="s">
        <v>517</v>
      </c>
      <c r="C31">
        <v>179814</v>
      </c>
      <c r="D31" t="s">
        <v>518</v>
      </c>
      <c r="E31" t="str">
        <f t="shared" si="0"/>
        <v>Grace Vaughn</v>
      </c>
      <c r="F31" s="2" t="str">
        <f t="shared" si="1"/>
        <v>insert into historical.employee values (242, 'Grace Vaughn', 179814, 'Surgical Nurse');</v>
      </c>
    </row>
    <row r="32" spans="1:6" x14ac:dyDescent="0.35">
      <c r="A32">
        <v>244</v>
      </c>
      <c r="B32" t="s">
        <v>519</v>
      </c>
      <c r="C32">
        <v>72371</v>
      </c>
      <c r="D32" t="s">
        <v>520</v>
      </c>
      <c r="E32" t="str">
        <f t="shared" si="0"/>
        <v>Pete Lane</v>
      </c>
      <c r="F32" s="2" t="str">
        <f t="shared" si="1"/>
        <v>insert into historical.employee values (244, 'Pete Lane', 72371, 'Personnel Assistant');</v>
      </c>
    </row>
    <row r="33" spans="1:6" x14ac:dyDescent="0.35">
      <c r="A33">
        <v>245</v>
      </c>
      <c r="B33" t="s">
        <v>521</v>
      </c>
      <c r="C33">
        <v>63960</v>
      </c>
      <c r="D33" t="s">
        <v>522</v>
      </c>
      <c r="E33" t="str">
        <f t="shared" si="0"/>
        <v>Jocelyn Andersen</v>
      </c>
      <c r="F33" s="2" t="str">
        <f t="shared" si="1"/>
        <v>insert into historical.employee values (245, 'Jocelyn Andersen', 63960, 'Part Time Sales Associate');</v>
      </c>
    </row>
    <row r="34" spans="1:6" x14ac:dyDescent="0.35">
      <c r="A34">
        <v>275</v>
      </c>
      <c r="B34" t="s">
        <v>523</v>
      </c>
      <c r="C34">
        <v>90132</v>
      </c>
      <c r="D34" t="s">
        <v>524</v>
      </c>
      <c r="E34" t="str">
        <f t="shared" si="0"/>
        <v>Salvador Young</v>
      </c>
      <c r="F34" s="2" t="str">
        <f t="shared" si="1"/>
        <v>insert into historical.employee values (275, 'Salvador Young', 90132, 'Claim Specialist');</v>
      </c>
    </row>
    <row r="35" spans="1:6" x14ac:dyDescent="0.35">
      <c r="A35">
        <v>299</v>
      </c>
      <c r="B35" t="s">
        <v>525</v>
      </c>
      <c r="C35">
        <v>72330</v>
      </c>
      <c r="D35" t="s">
        <v>526</v>
      </c>
      <c r="E35" t="str">
        <f t="shared" si="0"/>
        <v>Kristi Byrd</v>
      </c>
      <c r="F35" s="2" t="str">
        <f t="shared" si="1"/>
        <v>insert into historical.employee values (299, 'Kristi Byrd', 72330, 'Software Specialist');</v>
      </c>
    </row>
    <row r="36" spans="1:6" x14ac:dyDescent="0.35">
      <c r="A36">
        <v>300</v>
      </c>
      <c r="B36" t="s">
        <v>527</v>
      </c>
      <c r="C36">
        <v>195251</v>
      </c>
      <c r="D36" t="s">
        <v>528</v>
      </c>
      <c r="E36" t="str">
        <f t="shared" si="0"/>
        <v>Candace Chapman</v>
      </c>
      <c r="F36" s="2" t="str">
        <f t="shared" si="1"/>
        <v>insert into historical.employee values (300, 'Candace Chapman', 195251, 'Food Services Manager');</v>
      </c>
    </row>
    <row r="37" spans="1:6" x14ac:dyDescent="0.35">
      <c r="A37">
        <v>305</v>
      </c>
      <c r="B37" t="s">
        <v>529</v>
      </c>
      <c r="C37">
        <v>135380</v>
      </c>
      <c r="D37" t="s">
        <v>530</v>
      </c>
      <c r="E37" t="str">
        <f t="shared" si="0"/>
        <v>Bryce Figueroa</v>
      </c>
      <c r="F37" s="2" t="str">
        <f t="shared" si="1"/>
        <v>insert into historical.employee values (305, 'Bryce Figueroa', 135380, 'Pediatrician');</v>
      </c>
    </row>
    <row r="38" spans="1:6" x14ac:dyDescent="0.35">
      <c r="A38">
        <v>311</v>
      </c>
      <c r="B38" t="s">
        <v>531</v>
      </c>
      <c r="C38">
        <v>153116</v>
      </c>
      <c r="D38" t="s">
        <v>532</v>
      </c>
      <c r="E38" t="str">
        <f t="shared" si="0"/>
        <v>Tara Paul</v>
      </c>
      <c r="F38" s="2" t="str">
        <f t="shared" si="1"/>
        <v>insert into historical.employee values (311, 'Tara Paul', 153116, 'Oncology Pharmacist');</v>
      </c>
    </row>
    <row r="39" spans="1:6" x14ac:dyDescent="0.35">
      <c r="A39">
        <v>317</v>
      </c>
      <c r="B39" t="s">
        <v>533</v>
      </c>
      <c r="C39">
        <v>130612</v>
      </c>
      <c r="D39" t="s">
        <v>534</v>
      </c>
      <c r="E39" t="str">
        <f t="shared" si="0"/>
        <v>Diana Hansen</v>
      </c>
      <c r="F39" s="2" t="str">
        <f t="shared" si="1"/>
        <v>insert into historical.employee values (317, 'Diana Hansen', 130612, 'Engineering Assistant');</v>
      </c>
    </row>
    <row r="40" spans="1:6" x14ac:dyDescent="0.35">
      <c r="A40">
        <v>344</v>
      </c>
      <c r="B40" t="s">
        <v>535</v>
      </c>
      <c r="C40">
        <v>61264</v>
      </c>
      <c r="D40" t="s">
        <v>536</v>
      </c>
      <c r="E40" t="str">
        <f t="shared" si="0"/>
        <v>Leon Mueller</v>
      </c>
      <c r="F40" s="2" t="str">
        <f t="shared" si="1"/>
        <v>insert into historical.employee values (344, 'Leon Mueller', 61264, 'Process Improvement Analyst');</v>
      </c>
    </row>
    <row r="41" spans="1:6" x14ac:dyDescent="0.35">
      <c r="A41">
        <v>346</v>
      </c>
      <c r="B41" t="s">
        <v>537</v>
      </c>
      <c r="C41">
        <v>67491</v>
      </c>
      <c r="D41" t="s">
        <v>538</v>
      </c>
      <c r="E41" t="str">
        <f t="shared" si="0"/>
        <v>Lorie Wolf</v>
      </c>
      <c r="F41" s="2" t="str">
        <f t="shared" si="1"/>
        <v>insert into historical.employee values (346, 'Lorie Wolf', 67491, 'Senior Product Manager');</v>
      </c>
    </row>
    <row r="42" spans="1:6" x14ac:dyDescent="0.35">
      <c r="A42">
        <v>358</v>
      </c>
      <c r="B42" t="s">
        <v>539</v>
      </c>
      <c r="C42">
        <v>195351</v>
      </c>
      <c r="D42" t="s">
        <v>540</v>
      </c>
      <c r="E42" t="str">
        <f t="shared" si="0"/>
        <v>Julian Carr</v>
      </c>
      <c r="F42" s="2" t="str">
        <f t="shared" si="1"/>
        <v>insert into historical.employee values (358, 'Julian Carr', 195351, 'Business Development Manager');</v>
      </c>
    </row>
    <row r="43" spans="1:6" x14ac:dyDescent="0.35">
      <c r="A43">
        <v>393</v>
      </c>
      <c r="B43" t="s">
        <v>541</v>
      </c>
      <c r="C43">
        <v>179599</v>
      </c>
      <c r="D43" t="s">
        <v>542</v>
      </c>
      <c r="E43" t="str">
        <f t="shared" si="0"/>
        <v>Bridgett Newman</v>
      </c>
      <c r="F43" s="2" t="str">
        <f t="shared" si="1"/>
        <v>insert into historical.employee values (393, 'Bridgett Newman', 179599, 'Health Care Assistant');</v>
      </c>
    </row>
    <row r="44" spans="1:6" x14ac:dyDescent="0.35">
      <c r="A44">
        <v>427</v>
      </c>
      <c r="B44" t="s">
        <v>543</v>
      </c>
      <c r="C44">
        <v>61384</v>
      </c>
      <c r="D44" t="s">
        <v>544</v>
      </c>
      <c r="E44" t="str">
        <f t="shared" si="0"/>
        <v>Paige Casey</v>
      </c>
      <c r="F44" s="2" t="str">
        <f t="shared" si="1"/>
        <v>insert into historical.employee values (427, 'Paige Casey', 61384, 'Photojournalist');</v>
      </c>
    </row>
    <row r="45" spans="1:6" x14ac:dyDescent="0.35">
      <c r="A45">
        <v>434</v>
      </c>
      <c r="B45" t="s">
        <v>545</v>
      </c>
      <c r="C45">
        <v>87118</v>
      </c>
      <c r="D45" t="s">
        <v>546</v>
      </c>
      <c r="E45" t="str">
        <f t="shared" si="0"/>
        <v>Frankie Bishop</v>
      </c>
      <c r="F45" s="2" t="str">
        <f t="shared" si="1"/>
        <v>insert into historical.employee values (434, 'Frankie Bishop', 87118, 'Producer');</v>
      </c>
    </row>
    <row r="46" spans="1:6" x14ac:dyDescent="0.35">
      <c r="A46">
        <v>442</v>
      </c>
      <c r="B46" t="s">
        <v>547</v>
      </c>
      <c r="C46">
        <v>121087</v>
      </c>
      <c r="D46" t="s">
        <v>548</v>
      </c>
      <c r="E46" t="str">
        <f t="shared" si="0"/>
        <v>Cecil Cole</v>
      </c>
      <c r="F46" s="2" t="str">
        <f t="shared" si="1"/>
        <v>insert into historical.employee values (442, 'Cecil Cole', 121087, 'Telecommunications Analyst');</v>
      </c>
    </row>
    <row r="47" spans="1:6" x14ac:dyDescent="0.35">
      <c r="A47">
        <v>447</v>
      </c>
      <c r="B47" t="s">
        <v>549</v>
      </c>
      <c r="C47">
        <v>63432</v>
      </c>
      <c r="D47" t="s">
        <v>550</v>
      </c>
      <c r="E47" t="str">
        <f t="shared" si="0"/>
        <v>Rebecca Pineda</v>
      </c>
      <c r="F47" s="2" t="str">
        <f t="shared" si="1"/>
        <v>insert into historical.employee values (447, 'Rebecca Pineda', 63432, 'Catering Manager');</v>
      </c>
    </row>
    <row r="48" spans="1:6" x14ac:dyDescent="0.35">
      <c r="A48">
        <v>452</v>
      </c>
      <c r="B48" t="s">
        <v>551</v>
      </c>
      <c r="C48">
        <v>112881</v>
      </c>
      <c r="D48" t="s">
        <v>552</v>
      </c>
      <c r="E48" t="str">
        <f t="shared" si="0"/>
        <v>Audra Hubbard</v>
      </c>
      <c r="F48" s="2" t="str">
        <f t="shared" si="1"/>
        <v>insert into historical.employee values (452, 'Audra Hubbard', 112881, 'Maid');</v>
      </c>
    </row>
    <row r="49" spans="1:6" x14ac:dyDescent="0.35">
      <c r="A49">
        <v>458</v>
      </c>
      <c r="B49" t="s">
        <v>553</v>
      </c>
      <c r="C49">
        <v>116418</v>
      </c>
      <c r="D49" t="s">
        <v>554</v>
      </c>
      <c r="E49" t="str">
        <f t="shared" si="0"/>
        <v>Kathy Fuller</v>
      </c>
      <c r="F49" s="2" t="str">
        <f t="shared" si="1"/>
        <v>insert into historical.employee values (458, 'Kathy Fuller', 116418, 'Firmware Engineer');</v>
      </c>
    </row>
    <row r="50" spans="1:6" x14ac:dyDescent="0.35">
      <c r="A50">
        <v>469</v>
      </c>
      <c r="B50" t="s">
        <v>555</v>
      </c>
      <c r="C50">
        <v>115566</v>
      </c>
      <c r="D50" t="s">
        <v>556</v>
      </c>
      <c r="E50" t="str">
        <f t="shared" si="0"/>
        <v>Miranda Bell</v>
      </c>
      <c r="F50" s="2" t="str">
        <f t="shared" si="1"/>
        <v>insert into historical.employee values (469, 'Miranda Bell', 115566, 'Clinical Research Associate');</v>
      </c>
    </row>
    <row r="51" spans="1:6" x14ac:dyDescent="0.35">
      <c r="A51">
        <v>490</v>
      </c>
      <c r="B51" t="s">
        <v>557</v>
      </c>
      <c r="C51">
        <v>105687</v>
      </c>
      <c r="D51" t="s">
        <v>558</v>
      </c>
      <c r="E51" t="str">
        <f t="shared" si="0"/>
        <v>Fernando Walton</v>
      </c>
      <c r="F51" s="2" t="str">
        <f t="shared" si="1"/>
        <v>insert into historical.employee values (490, 'Fernando Walton', 105687, 'Personal Assistant');</v>
      </c>
    </row>
    <row r="52" spans="1:6" x14ac:dyDescent="0.35">
      <c r="A52" t="s">
        <v>581</v>
      </c>
      <c r="B52" t="s">
        <v>586</v>
      </c>
      <c r="C52" t="s">
        <v>581</v>
      </c>
      <c r="D52" t="s">
        <v>587</v>
      </c>
    </row>
    <row r="54" spans="1:6" x14ac:dyDescent="0.35">
      <c r="B54" cm="1">
        <f t="array" ref="B54">MAX(LEN(B2:B51))</f>
        <v>18</v>
      </c>
      <c r="D54" cm="1">
        <f t="array" ref="D54">MAX(LEN(D2:D51))</f>
        <v>29</v>
      </c>
    </row>
    <row r="55" spans="1:6" x14ac:dyDescent="0.35">
      <c r="B55" t="s">
        <v>577</v>
      </c>
      <c r="D55" t="s">
        <v>570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6E2A2-0780-4D06-81F2-C816C5A23107}">
  <dimension ref="A1:D77"/>
  <sheetViews>
    <sheetView tabSelected="1" topLeftCell="A52" workbookViewId="0">
      <selection activeCell="D79" sqref="D79"/>
    </sheetView>
  </sheetViews>
  <sheetFormatPr defaultRowHeight="14.5" x14ac:dyDescent="0.35"/>
  <cols>
    <col min="1" max="1" width="6.7265625" bestFit="1" customWidth="1"/>
    <col min="2" max="2" width="12.26953125" bestFit="1" customWidth="1"/>
    <col min="3" max="3" width="10.7265625" bestFit="1" customWidth="1"/>
    <col min="4" max="4" width="53.90625" bestFit="1" customWidth="1"/>
  </cols>
  <sheetData>
    <row r="1" spans="1:4" x14ac:dyDescent="0.35">
      <c r="A1" t="s">
        <v>361</v>
      </c>
      <c r="B1" t="s">
        <v>364</v>
      </c>
      <c r="C1" t="s">
        <v>559</v>
      </c>
    </row>
    <row r="2" spans="1:4" x14ac:dyDescent="0.35">
      <c r="A2">
        <v>25</v>
      </c>
      <c r="B2">
        <v>170</v>
      </c>
      <c r="C2" s="1">
        <v>36837</v>
      </c>
      <c r="D2" s="2" t="str">
        <f>"insert into historical.supervisor values ("&amp;A2&amp;", "&amp;B2&amp;", '"&amp;IF(C2="NULL",C2,YEAR(C2)&amp;"/"&amp;MONTH(C2)&amp;"/"&amp;DAY(C2))&amp;"');"</f>
        <v>insert into historical.supervisor values (25, 170, '2000/11/7');</v>
      </c>
    </row>
    <row r="3" spans="1:4" x14ac:dyDescent="0.35">
      <c r="A3">
        <v>25</v>
      </c>
      <c r="B3">
        <v>393</v>
      </c>
      <c r="C3" s="1">
        <v>41562</v>
      </c>
      <c r="D3" s="2" t="str">
        <f t="shared" ref="D3:D66" si="0">"insert into historical.supervisor values ("&amp;A3&amp;", "&amp;B3&amp;", '"&amp;IF(C3="NULL",C3,YEAR(C3)&amp;"/"&amp;MONTH(C3)&amp;"/"&amp;DAY(C3))&amp;"');"</f>
        <v>insert into historical.supervisor values (25, 393, '2013/10/15');</v>
      </c>
    </row>
    <row r="4" spans="1:4" x14ac:dyDescent="0.35">
      <c r="A4">
        <v>40</v>
      </c>
      <c r="B4">
        <v>153</v>
      </c>
      <c r="C4" s="1">
        <v>42357</v>
      </c>
      <c r="D4" s="2" t="str">
        <f t="shared" si="0"/>
        <v>insert into historical.supervisor values (40, 153, '2015/12/19');</v>
      </c>
    </row>
    <row r="5" spans="1:4" x14ac:dyDescent="0.35">
      <c r="A5">
        <v>40</v>
      </c>
      <c r="B5">
        <v>245</v>
      </c>
      <c r="C5" s="1">
        <v>40038</v>
      </c>
      <c r="D5" s="2" t="str">
        <f t="shared" si="0"/>
        <v>insert into historical.supervisor values (40, 245, '2009/8/13');</v>
      </c>
    </row>
    <row r="6" spans="1:4" x14ac:dyDescent="0.35">
      <c r="A6">
        <v>44</v>
      </c>
      <c r="B6">
        <v>358</v>
      </c>
      <c r="C6" s="1">
        <v>45781</v>
      </c>
      <c r="D6" s="2" t="str">
        <f t="shared" si="0"/>
        <v>insert into historical.supervisor values (44, 358, '2025/5/4');</v>
      </c>
    </row>
    <row r="7" spans="1:4" x14ac:dyDescent="0.35">
      <c r="A7">
        <v>47</v>
      </c>
      <c r="B7">
        <v>442</v>
      </c>
      <c r="C7" s="1">
        <v>41925</v>
      </c>
      <c r="D7" s="2" t="str">
        <f t="shared" si="0"/>
        <v>insert into historical.supervisor values (47, 442, '2014/10/13');</v>
      </c>
    </row>
    <row r="8" spans="1:4" x14ac:dyDescent="0.35">
      <c r="A8">
        <v>50</v>
      </c>
      <c r="B8">
        <v>209</v>
      </c>
      <c r="C8" s="1">
        <v>36953</v>
      </c>
      <c r="D8" s="2" t="str">
        <f t="shared" si="0"/>
        <v>insert into historical.supervisor values (50, 209, '2001/3/3');</v>
      </c>
    </row>
    <row r="9" spans="1:4" x14ac:dyDescent="0.35">
      <c r="A9">
        <v>74</v>
      </c>
      <c r="B9">
        <v>90</v>
      </c>
      <c r="C9" s="1">
        <v>43352</v>
      </c>
      <c r="D9" s="2" t="str">
        <f t="shared" si="0"/>
        <v>insert into historical.supervisor values (74, 90, '2018/9/9');</v>
      </c>
    </row>
    <row r="10" spans="1:4" x14ac:dyDescent="0.35">
      <c r="A10">
        <v>90</v>
      </c>
      <c r="B10">
        <v>214</v>
      </c>
      <c r="C10" s="1">
        <v>39400</v>
      </c>
      <c r="D10" s="2" t="str">
        <f t="shared" si="0"/>
        <v>insert into historical.supervisor values (90, 214, '2007/11/14');</v>
      </c>
    </row>
    <row r="11" spans="1:4" x14ac:dyDescent="0.35">
      <c r="A11">
        <v>91</v>
      </c>
      <c r="B11">
        <v>142</v>
      </c>
      <c r="C11" s="1">
        <v>39339</v>
      </c>
      <c r="D11" s="2" t="str">
        <f t="shared" si="0"/>
        <v>insert into historical.supervisor values (91, 142, '2007/9/14');</v>
      </c>
    </row>
    <row r="12" spans="1:4" x14ac:dyDescent="0.35">
      <c r="A12">
        <v>118</v>
      </c>
      <c r="B12">
        <v>200</v>
      </c>
      <c r="C12" s="1">
        <v>44841</v>
      </c>
      <c r="D12" s="2" t="str">
        <f t="shared" si="0"/>
        <v>insert into historical.supervisor values (118, 200, '2022/10/7');</v>
      </c>
    </row>
    <row r="13" spans="1:4" x14ac:dyDescent="0.35">
      <c r="A13">
        <v>122</v>
      </c>
      <c r="B13">
        <v>176</v>
      </c>
      <c r="C13" s="1">
        <v>45434</v>
      </c>
      <c r="D13" s="2" t="str">
        <f t="shared" si="0"/>
        <v>insert into historical.supervisor values (122, 176, '2024/5/22');</v>
      </c>
    </row>
    <row r="14" spans="1:4" x14ac:dyDescent="0.35">
      <c r="A14">
        <v>122</v>
      </c>
      <c r="B14">
        <v>299</v>
      </c>
      <c r="C14" s="1">
        <v>39563</v>
      </c>
      <c r="D14" s="2" t="str">
        <f t="shared" si="0"/>
        <v>insert into historical.supervisor values (122, 299, '2008/4/25');</v>
      </c>
    </row>
    <row r="15" spans="1:4" x14ac:dyDescent="0.35">
      <c r="A15">
        <v>130</v>
      </c>
      <c r="B15">
        <v>238</v>
      </c>
      <c r="C15" s="1">
        <v>44528</v>
      </c>
      <c r="D15" s="2" t="str">
        <f t="shared" si="0"/>
        <v>insert into historical.supervisor values (130, 238, '2021/11/28');</v>
      </c>
    </row>
    <row r="16" spans="1:4" x14ac:dyDescent="0.35">
      <c r="A16">
        <v>142</v>
      </c>
      <c r="B16">
        <v>311</v>
      </c>
      <c r="C16" s="1">
        <v>37156</v>
      </c>
      <c r="D16" s="2" t="str">
        <f t="shared" si="0"/>
        <v>insert into historical.supervisor values (142, 311, '2001/9/22');</v>
      </c>
    </row>
    <row r="17" spans="1:4" x14ac:dyDescent="0.35">
      <c r="A17">
        <v>142</v>
      </c>
      <c r="B17">
        <v>452</v>
      </c>
      <c r="C17" s="1">
        <v>40881</v>
      </c>
      <c r="D17" s="2" t="str">
        <f t="shared" si="0"/>
        <v>insert into historical.supervisor values (142, 452, '2011/12/4');</v>
      </c>
    </row>
    <row r="18" spans="1:4" x14ac:dyDescent="0.35">
      <c r="A18">
        <v>144</v>
      </c>
      <c r="B18">
        <v>40</v>
      </c>
      <c r="C18" s="1">
        <v>39501</v>
      </c>
      <c r="D18" s="2" t="str">
        <f t="shared" si="0"/>
        <v>insert into historical.supervisor values (144, 40, '2008/2/23');</v>
      </c>
    </row>
    <row r="19" spans="1:4" x14ac:dyDescent="0.35">
      <c r="A19">
        <v>144</v>
      </c>
      <c r="B19">
        <v>275</v>
      </c>
      <c r="C19" s="1">
        <v>36737</v>
      </c>
      <c r="D19" s="2" t="str">
        <f t="shared" si="0"/>
        <v>insert into historical.supervisor values (144, 275, '2000/7/30');</v>
      </c>
    </row>
    <row r="20" spans="1:4" x14ac:dyDescent="0.35">
      <c r="A20">
        <v>150</v>
      </c>
      <c r="B20">
        <v>40</v>
      </c>
      <c r="C20" s="1">
        <v>44859</v>
      </c>
      <c r="D20" s="2" t="str">
        <f t="shared" si="0"/>
        <v>insert into historical.supervisor values (150, 40, '2022/10/25');</v>
      </c>
    </row>
    <row r="21" spans="1:4" x14ac:dyDescent="0.35">
      <c r="A21">
        <v>150</v>
      </c>
      <c r="B21">
        <v>150</v>
      </c>
      <c r="C21" s="1">
        <v>40038</v>
      </c>
      <c r="D21" s="2" t="str">
        <f t="shared" si="0"/>
        <v>insert into historical.supervisor values (150, 150, '2009/8/13');</v>
      </c>
    </row>
    <row r="22" spans="1:4" x14ac:dyDescent="0.35">
      <c r="A22">
        <v>153</v>
      </c>
      <c r="B22">
        <v>44</v>
      </c>
      <c r="C22" s="1">
        <v>39271</v>
      </c>
      <c r="D22" s="2" t="str">
        <f t="shared" si="0"/>
        <v>insert into historical.supervisor values (153, 44, '2007/7/8');</v>
      </c>
    </row>
    <row r="23" spans="1:4" x14ac:dyDescent="0.35">
      <c r="A23">
        <v>155</v>
      </c>
      <c r="B23">
        <v>181</v>
      </c>
      <c r="C23" s="1">
        <v>39396</v>
      </c>
      <c r="D23" s="2" t="str">
        <f t="shared" si="0"/>
        <v>insert into historical.supervisor values (155, 181, '2007/11/10');</v>
      </c>
    </row>
    <row r="24" spans="1:4" x14ac:dyDescent="0.35">
      <c r="A24">
        <v>157</v>
      </c>
      <c r="B24">
        <v>242</v>
      </c>
      <c r="C24" s="1">
        <v>39027</v>
      </c>
      <c r="D24" s="2" t="str">
        <f t="shared" si="0"/>
        <v>insert into historical.supervisor values (157, 242, '2006/11/6');</v>
      </c>
    </row>
    <row r="25" spans="1:4" x14ac:dyDescent="0.35">
      <c r="A25">
        <v>158</v>
      </c>
      <c r="B25">
        <v>91</v>
      </c>
      <c r="C25" s="1">
        <v>45060</v>
      </c>
      <c r="D25" s="2" t="str">
        <f t="shared" si="0"/>
        <v>insert into historical.supervisor values (158, 91, '2023/5/14');</v>
      </c>
    </row>
    <row r="26" spans="1:4" x14ac:dyDescent="0.35">
      <c r="A26">
        <v>159</v>
      </c>
      <c r="B26">
        <v>434</v>
      </c>
      <c r="C26" s="1">
        <v>41420</v>
      </c>
      <c r="D26" s="2" t="str">
        <f t="shared" si="0"/>
        <v>insert into historical.supervisor values (159, 434, '2013/5/26');</v>
      </c>
    </row>
    <row r="27" spans="1:4" x14ac:dyDescent="0.35">
      <c r="A27">
        <v>168</v>
      </c>
      <c r="B27">
        <v>122</v>
      </c>
      <c r="C27" s="1">
        <v>36588</v>
      </c>
      <c r="D27" s="2" t="str">
        <f t="shared" si="0"/>
        <v>insert into historical.supervisor values (168, 122, '2000/3/3');</v>
      </c>
    </row>
    <row r="28" spans="1:4" x14ac:dyDescent="0.35">
      <c r="A28">
        <v>170</v>
      </c>
      <c r="B28">
        <v>50</v>
      </c>
      <c r="C28" s="1">
        <v>43767</v>
      </c>
      <c r="D28" s="2" t="str">
        <f t="shared" si="0"/>
        <v>insert into historical.supervisor values (170, 50, '2019/10/29');</v>
      </c>
    </row>
    <row r="29" spans="1:4" x14ac:dyDescent="0.35">
      <c r="A29">
        <v>170</v>
      </c>
      <c r="B29">
        <v>458</v>
      </c>
      <c r="C29" s="1">
        <v>43052</v>
      </c>
      <c r="D29" s="2" t="str">
        <f t="shared" si="0"/>
        <v>insert into historical.supervisor values (170, 458, '2017/11/13');</v>
      </c>
    </row>
    <row r="30" spans="1:4" x14ac:dyDescent="0.35">
      <c r="A30">
        <v>176</v>
      </c>
      <c r="B30">
        <v>305</v>
      </c>
      <c r="C30" s="1">
        <v>41322</v>
      </c>
      <c r="D30" s="2" t="str">
        <f t="shared" si="0"/>
        <v>insert into historical.supervisor values (176, 305, '2013/2/17');</v>
      </c>
    </row>
    <row r="31" spans="1:4" x14ac:dyDescent="0.35">
      <c r="A31">
        <v>176</v>
      </c>
      <c r="B31">
        <v>490</v>
      </c>
      <c r="C31" s="1">
        <v>45216</v>
      </c>
      <c r="D31" s="2" t="str">
        <f t="shared" si="0"/>
        <v>insert into historical.supervisor values (176, 490, '2023/10/17');</v>
      </c>
    </row>
    <row r="32" spans="1:4" x14ac:dyDescent="0.35">
      <c r="A32">
        <v>181</v>
      </c>
      <c r="B32">
        <v>150</v>
      </c>
      <c r="C32" s="1">
        <v>41649</v>
      </c>
      <c r="D32" s="2" t="str">
        <f t="shared" si="0"/>
        <v>insert into historical.supervisor values (181, 150, '2014/1/10');</v>
      </c>
    </row>
    <row r="33" spans="1:4" x14ac:dyDescent="0.35">
      <c r="A33">
        <v>181</v>
      </c>
      <c r="B33">
        <v>159</v>
      </c>
      <c r="C33" s="1">
        <v>38316</v>
      </c>
      <c r="D33" s="2" t="str">
        <f t="shared" si="0"/>
        <v>insert into historical.supervisor values (181, 159, '2004/11/25');</v>
      </c>
    </row>
    <row r="34" spans="1:4" x14ac:dyDescent="0.35">
      <c r="A34">
        <v>200</v>
      </c>
      <c r="B34">
        <v>130</v>
      </c>
      <c r="C34" s="1">
        <v>38849</v>
      </c>
      <c r="D34" s="2" t="str">
        <f t="shared" si="0"/>
        <v>insert into historical.supervisor values (200, 130, '2006/5/12');</v>
      </c>
    </row>
    <row r="35" spans="1:4" x14ac:dyDescent="0.35">
      <c r="A35">
        <v>201</v>
      </c>
      <c r="B35">
        <v>219</v>
      </c>
      <c r="C35" s="1">
        <v>39432</v>
      </c>
      <c r="D35" s="2" t="str">
        <f t="shared" si="0"/>
        <v>insert into historical.supervisor values (201, 219, '2007/12/16');</v>
      </c>
    </row>
    <row r="36" spans="1:4" x14ac:dyDescent="0.35">
      <c r="A36">
        <v>209</v>
      </c>
      <c r="B36">
        <v>157</v>
      </c>
      <c r="C36" s="1">
        <v>43226</v>
      </c>
      <c r="D36" s="2" t="str">
        <f t="shared" si="0"/>
        <v>insert into historical.supervisor values (209, 157, '2018/5/6');</v>
      </c>
    </row>
    <row r="37" spans="1:4" x14ac:dyDescent="0.35">
      <c r="A37">
        <v>214</v>
      </c>
      <c r="B37">
        <v>299</v>
      </c>
      <c r="C37" s="1">
        <v>37080</v>
      </c>
      <c r="D37" s="2" t="str">
        <f t="shared" si="0"/>
        <v>insert into historical.supervisor values (214, 299, '2001/7/8');</v>
      </c>
    </row>
    <row r="38" spans="1:4" x14ac:dyDescent="0.35">
      <c r="A38">
        <v>214</v>
      </c>
      <c r="B38">
        <v>346</v>
      </c>
      <c r="C38" s="1">
        <v>42552</v>
      </c>
      <c r="D38" s="2" t="str">
        <f t="shared" si="0"/>
        <v>insert into historical.supervisor values (214, 346, '2016/7/1');</v>
      </c>
    </row>
    <row r="39" spans="1:4" x14ac:dyDescent="0.35">
      <c r="A39">
        <v>219</v>
      </c>
      <c r="B39">
        <v>158</v>
      </c>
      <c r="C39" s="1">
        <v>44237</v>
      </c>
      <c r="D39" s="2" t="str">
        <f t="shared" si="0"/>
        <v>insert into historical.supervisor values (219, 158, '2021/2/10');</v>
      </c>
    </row>
    <row r="40" spans="1:4" x14ac:dyDescent="0.35">
      <c r="A40">
        <v>219</v>
      </c>
      <c r="B40">
        <v>176</v>
      </c>
      <c r="C40" s="1">
        <v>36716</v>
      </c>
      <c r="D40" s="2" t="str">
        <f t="shared" si="0"/>
        <v>insert into historical.supervisor values (219, 176, '2000/7/9');</v>
      </c>
    </row>
    <row r="41" spans="1:4" x14ac:dyDescent="0.35">
      <c r="A41">
        <v>238</v>
      </c>
      <c r="B41">
        <v>469</v>
      </c>
      <c r="C41" s="1">
        <v>45275</v>
      </c>
      <c r="D41" s="2" t="str">
        <f t="shared" si="0"/>
        <v>insert into historical.supervisor values (238, 469, '2023/12/15');</v>
      </c>
    </row>
    <row r="42" spans="1:4" x14ac:dyDescent="0.35">
      <c r="A42">
        <v>242</v>
      </c>
      <c r="B42">
        <v>122</v>
      </c>
      <c r="C42" s="1">
        <v>44238</v>
      </c>
      <c r="D42" s="2" t="str">
        <f t="shared" si="0"/>
        <v>insert into historical.supervisor values (242, 122, '2021/2/11');</v>
      </c>
    </row>
    <row r="43" spans="1:4" x14ac:dyDescent="0.35">
      <c r="A43">
        <v>242</v>
      </c>
      <c r="B43">
        <v>393</v>
      </c>
      <c r="C43" s="1">
        <v>40988</v>
      </c>
      <c r="D43" s="2" t="str">
        <f t="shared" si="0"/>
        <v>insert into historical.supervisor values (242, 393, '2012/3/20');</v>
      </c>
    </row>
    <row r="44" spans="1:4" x14ac:dyDescent="0.35">
      <c r="A44">
        <v>244</v>
      </c>
      <c r="B44">
        <v>311</v>
      </c>
      <c r="C44" s="1">
        <v>45873</v>
      </c>
      <c r="D44" s="2" t="str">
        <f t="shared" si="0"/>
        <v>insert into historical.supervisor values (244, 311, '2025/8/4');</v>
      </c>
    </row>
    <row r="45" spans="1:4" x14ac:dyDescent="0.35">
      <c r="A45">
        <v>244</v>
      </c>
      <c r="B45">
        <v>317</v>
      </c>
      <c r="C45" s="1">
        <v>45293</v>
      </c>
      <c r="D45" s="2" t="str">
        <f t="shared" si="0"/>
        <v>insert into historical.supervisor values (244, 317, '2024/1/2');</v>
      </c>
    </row>
    <row r="46" spans="1:4" x14ac:dyDescent="0.35">
      <c r="A46">
        <v>245</v>
      </c>
      <c r="B46">
        <v>159</v>
      </c>
      <c r="C46" s="1">
        <v>41289</v>
      </c>
      <c r="D46" s="2" t="str">
        <f t="shared" si="0"/>
        <v>insert into historical.supervisor values (245, 159, '2013/1/15');</v>
      </c>
    </row>
    <row r="47" spans="1:4" x14ac:dyDescent="0.35">
      <c r="A47">
        <v>245</v>
      </c>
      <c r="B47">
        <v>490</v>
      </c>
      <c r="C47" s="1">
        <v>38158</v>
      </c>
      <c r="D47" s="2" t="str">
        <f t="shared" si="0"/>
        <v>insert into historical.supervisor values (245, 490, '2004/6/20');</v>
      </c>
    </row>
    <row r="48" spans="1:4" x14ac:dyDescent="0.35">
      <c r="A48">
        <v>275</v>
      </c>
      <c r="B48">
        <v>447</v>
      </c>
      <c r="C48" s="1">
        <v>38291</v>
      </c>
      <c r="D48" s="2" t="str">
        <f t="shared" si="0"/>
        <v>insert into historical.supervisor values (275, 447, '2004/10/31');</v>
      </c>
    </row>
    <row r="49" spans="1:4" x14ac:dyDescent="0.35">
      <c r="A49">
        <v>299</v>
      </c>
      <c r="B49">
        <v>344</v>
      </c>
      <c r="C49" s="1">
        <v>42460</v>
      </c>
      <c r="D49" s="2" t="str">
        <f t="shared" si="0"/>
        <v>insert into historical.supervisor values (299, 344, '2016/3/31');</v>
      </c>
    </row>
    <row r="50" spans="1:4" x14ac:dyDescent="0.35">
      <c r="A50">
        <v>300</v>
      </c>
      <c r="B50">
        <v>300</v>
      </c>
      <c r="C50" s="1">
        <v>44991</v>
      </c>
      <c r="D50" s="2" t="str">
        <f t="shared" si="0"/>
        <v>insert into historical.supervisor values (300, 300, '2023/3/6');</v>
      </c>
    </row>
    <row r="51" spans="1:4" x14ac:dyDescent="0.35">
      <c r="A51">
        <v>305</v>
      </c>
      <c r="B51">
        <v>155</v>
      </c>
      <c r="C51" s="1">
        <v>44596</v>
      </c>
      <c r="D51" s="2" t="str">
        <f t="shared" si="0"/>
        <v>insert into historical.supervisor values (305, 155, '2022/2/4');</v>
      </c>
    </row>
    <row r="52" spans="1:4" x14ac:dyDescent="0.35">
      <c r="A52">
        <v>311</v>
      </c>
      <c r="B52">
        <v>74</v>
      </c>
      <c r="C52" s="1">
        <v>39527</v>
      </c>
      <c r="D52" s="2" t="str">
        <f t="shared" si="0"/>
        <v>insert into historical.supervisor values (311, 74, '2008/3/20');</v>
      </c>
    </row>
    <row r="53" spans="1:4" x14ac:dyDescent="0.35">
      <c r="A53">
        <v>311</v>
      </c>
      <c r="B53">
        <v>144</v>
      </c>
      <c r="C53" s="1">
        <v>40347</v>
      </c>
      <c r="D53" s="2" t="str">
        <f t="shared" si="0"/>
        <v>insert into historical.supervisor values (311, 144, '2010/6/18');</v>
      </c>
    </row>
    <row r="54" spans="1:4" x14ac:dyDescent="0.35">
      <c r="A54">
        <v>317</v>
      </c>
      <c r="B54">
        <v>201</v>
      </c>
      <c r="C54" s="1">
        <v>44079</v>
      </c>
      <c r="D54" s="2" t="str">
        <f t="shared" si="0"/>
        <v>insert into historical.supervisor values (317, 201, '2020/9/5');</v>
      </c>
    </row>
    <row r="55" spans="1:4" x14ac:dyDescent="0.35">
      <c r="A55">
        <v>317</v>
      </c>
      <c r="B55">
        <v>346</v>
      </c>
      <c r="C55" s="1">
        <v>37188</v>
      </c>
      <c r="D55" s="2" t="str">
        <f t="shared" si="0"/>
        <v>insert into historical.supervisor values (317, 346, '2001/10/24');</v>
      </c>
    </row>
    <row r="56" spans="1:4" x14ac:dyDescent="0.35">
      <c r="A56">
        <v>344</v>
      </c>
      <c r="B56">
        <v>47</v>
      </c>
      <c r="C56" s="1">
        <v>40188</v>
      </c>
      <c r="D56" s="2" t="str">
        <f t="shared" si="0"/>
        <v>insert into historical.supervisor values (344, 47, '2010/1/10');</v>
      </c>
    </row>
    <row r="57" spans="1:4" x14ac:dyDescent="0.35">
      <c r="A57">
        <v>344</v>
      </c>
      <c r="B57">
        <v>452</v>
      </c>
      <c r="C57" s="1">
        <v>42893</v>
      </c>
      <c r="D57" s="2" t="str">
        <f t="shared" si="0"/>
        <v>insert into historical.supervisor values (344, 452, '2017/6/7');</v>
      </c>
    </row>
    <row r="58" spans="1:4" x14ac:dyDescent="0.35">
      <c r="A58">
        <v>346</v>
      </c>
      <c r="B58">
        <v>47</v>
      </c>
      <c r="C58" s="1">
        <v>42042</v>
      </c>
      <c r="D58" s="2" t="str">
        <f t="shared" si="0"/>
        <v>insert into historical.supervisor values (346, 47, '2015/2/7');</v>
      </c>
    </row>
    <row r="59" spans="1:4" x14ac:dyDescent="0.35">
      <c r="A59">
        <v>346</v>
      </c>
      <c r="B59">
        <v>118</v>
      </c>
      <c r="C59" s="1">
        <v>44879</v>
      </c>
      <c r="D59" s="2" t="str">
        <f t="shared" si="0"/>
        <v>insert into historical.supervisor values (346, 118, '2022/11/14');</v>
      </c>
    </row>
    <row r="60" spans="1:4" x14ac:dyDescent="0.35">
      <c r="A60">
        <v>358</v>
      </c>
      <c r="B60">
        <v>168</v>
      </c>
      <c r="C60" s="1">
        <v>40256</v>
      </c>
      <c r="D60" s="2" t="str">
        <f t="shared" si="0"/>
        <v>insert into historical.supervisor values (358, 168, '2010/3/19');</v>
      </c>
    </row>
    <row r="61" spans="1:4" x14ac:dyDescent="0.35">
      <c r="A61">
        <v>393</v>
      </c>
      <c r="B61">
        <v>74</v>
      </c>
      <c r="C61" s="1">
        <v>36627</v>
      </c>
      <c r="D61" s="2" t="str">
        <f t="shared" si="0"/>
        <v>insert into historical.supervisor values (393, 74, '2000/4/11');</v>
      </c>
    </row>
    <row r="62" spans="1:4" x14ac:dyDescent="0.35">
      <c r="A62">
        <v>393</v>
      </c>
      <c r="B62">
        <v>201</v>
      </c>
      <c r="C62" s="1">
        <v>43982</v>
      </c>
      <c r="D62" s="2" t="str">
        <f t="shared" si="0"/>
        <v>insert into historical.supervisor values (393, 201, '2020/5/31');</v>
      </c>
    </row>
    <row r="63" spans="1:4" x14ac:dyDescent="0.35">
      <c r="A63">
        <v>427</v>
      </c>
      <c r="B63">
        <v>153</v>
      </c>
      <c r="C63" s="1">
        <v>38218</v>
      </c>
      <c r="D63" s="2" t="str">
        <f t="shared" si="0"/>
        <v>insert into historical.supervisor values (427, 153, '2004/8/19');</v>
      </c>
    </row>
    <row r="64" spans="1:4" x14ac:dyDescent="0.35">
      <c r="A64">
        <v>427</v>
      </c>
      <c r="B64">
        <v>244</v>
      </c>
      <c r="C64" s="1">
        <v>43052</v>
      </c>
      <c r="D64" s="2" t="str">
        <f t="shared" si="0"/>
        <v>insert into historical.supervisor values (427, 244, '2017/11/13');</v>
      </c>
    </row>
    <row r="65" spans="1:4" x14ac:dyDescent="0.35">
      <c r="A65">
        <v>434</v>
      </c>
      <c r="B65">
        <v>427</v>
      </c>
      <c r="C65" s="1">
        <v>42609</v>
      </c>
      <c r="D65" s="2" t="str">
        <f t="shared" si="0"/>
        <v>insert into historical.supervisor values (434, 427, '2016/8/27');</v>
      </c>
    </row>
    <row r="66" spans="1:4" x14ac:dyDescent="0.35">
      <c r="A66">
        <v>442</v>
      </c>
      <c r="B66">
        <v>25</v>
      </c>
      <c r="C66" s="1">
        <v>43692</v>
      </c>
      <c r="D66" s="2" t="str">
        <f t="shared" si="0"/>
        <v>insert into historical.supervisor values (442, 25, '2019/8/15');</v>
      </c>
    </row>
    <row r="67" spans="1:4" x14ac:dyDescent="0.35">
      <c r="A67">
        <v>447</v>
      </c>
      <c r="B67">
        <v>158</v>
      </c>
      <c r="C67" s="1">
        <v>45017</v>
      </c>
      <c r="D67" s="2" t="str">
        <f t="shared" ref="D67:D76" si="1">"insert into historical.supervisor values ("&amp;A67&amp;", "&amp;B67&amp;", '"&amp;IF(C67="NULL",C67,YEAR(C67)&amp;"/"&amp;MONTH(C67)&amp;"/"&amp;DAY(C67))&amp;"');"</f>
        <v>insert into historical.supervisor values (447, 158, '2023/4/1');</v>
      </c>
    </row>
    <row r="68" spans="1:4" x14ac:dyDescent="0.35">
      <c r="A68">
        <v>447</v>
      </c>
      <c r="B68">
        <v>458</v>
      </c>
      <c r="C68" s="1">
        <v>37180</v>
      </c>
      <c r="D68" s="2" t="str">
        <f t="shared" si="1"/>
        <v>insert into historical.supervisor values (447, 458, '2001/10/16');</v>
      </c>
    </row>
    <row r="69" spans="1:4" x14ac:dyDescent="0.35">
      <c r="A69">
        <v>452</v>
      </c>
      <c r="B69">
        <v>118</v>
      </c>
      <c r="C69" s="1">
        <v>45379</v>
      </c>
      <c r="D69" s="2" t="str">
        <f t="shared" si="1"/>
        <v>insert into historical.supervisor values (452, 118, '2024/3/28');</v>
      </c>
    </row>
    <row r="70" spans="1:4" x14ac:dyDescent="0.35">
      <c r="A70">
        <v>452</v>
      </c>
      <c r="B70">
        <v>170</v>
      </c>
      <c r="C70" s="1">
        <v>43328</v>
      </c>
      <c r="D70" s="2" t="str">
        <f t="shared" si="1"/>
        <v>insert into historical.supervisor values (452, 170, '2018/8/16');</v>
      </c>
    </row>
    <row r="71" spans="1:4" x14ac:dyDescent="0.35">
      <c r="A71">
        <v>458</v>
      </c>
      <c r="B71">
        <v>244</v>
      </c>
      <c r="C71" s="1">
        <v>36793</v>
      </c>
      <c r="D71" s="2" t="str">
        <f t="shared" si="1"/>
        <v>insert into historical.supervisor values (458, 244, '2000/9/24');</v>
      </c>
    </row>
    <row r="72" spans="1:4" x14ac:dyDescent="0.35">
      <c r="A72">
        <v>458</v>
      </c>
      <c r="B72">
        <v>317</v>
      </c>
      <c r="C72" s="1">
        <v>43529</v>
      </c>
      <c r="D72" s="2" t="str">
        <f t="shared" si="1"/>
        <v>insert into historical.supervisor values (458, 317, '2019/3/5');</v>
      </c>
    </row>
    <row r="73" spans="1:4" x14ac:dyDescent="0.35">
      <c r="A73">
        <v>469</v>
      </c>
      <c r="B73">
        <v>245</v>
      </c>
      <c r="C73" s="1">
        <v>43269</v>
      </c>
      <c r="D73" s="2" t="str">
        <f t="shared" si="1"/>
        <v>insert into historical.supervisor values (469, 245, '2018/6/18');</v>
      </c>
    </row>
    <row r="74" spans="1:4" x14ac:dyDescent="0.35">
      <c r="A74">
        <v>469</v>
      </c>
      <c r="B74">
        <v>305</v>
      </c>
      <c r="C74" s="1">
        <v>37410</v>
      </c>
      <c r="D74" s="2" t="str">
        <f t="shared" si="1"/>
        <v>insert into historical.supervisor values (469, 305, '2002/6/3');</v>
      </c>
    </row>
    <row r="75" spans="1:4" x14ac:dyDescent="0.35">
      <c r="A75">
        <v>490</v>
      </c>
      <c r="B75">
        <v>50</v>
      </c>
      <c r="C75" s="1">
        <v>37316</v>
      </c>
      <c r="D75" s="2" t="str">
        <f t="shared" si="1"/>
        <v>insert into historical.supervisor values (490, 50, '2002/3/1');</v>
      </c>
    </row>
    <row r="76" spans="1:4" x14ac:dyDescent="0.35">
      <c r="A76">
        <v>490</v>
      </c>
      <c r="B76">
        <v>275</v>
      </c>
      <c r="C76" s="1">
        <v>38089</v>
      </c>
      <c r="D76" s="2" t="str">
        <f t="shared" si="1"/>
        <v>insert into historical.supervisor values (490, 275, '2004/4/12');</v>
      </c>
    </row>
    <row r="77" spans="1:4" x14ac:dyDescent="0.35">
      <c r="A77" t="s">
        <v>581</v>
      </c>
      <c r="B77" t="s">
        <v>581</v>
      </c>
      <c r="C77" t="s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Agency</vt:lpstr>
      <vt:lpstr>SystemAccount</vt:lpstr>
      <vt:lpstr>Policy</vt:lpstr>
      <vt:lpstr>PrimaryInsured</vt:lpstr>
      <vt:lpstr>Section</vt:lpstr>
      <vt:lpstr>Field</vt:lpstr>
      <vt:lpstr>Employee</vt:lpstr>
      <vt:lpstr>Historical.Employee</vt:lpstr>
      <vt:lpstr>Historical.Supervisor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Burkman</dc:creator>
  <cp:lastModifiedBy>Hollman, Nick</cp:lastModifiedBy>
  <dcterms:created xsi:type="dcterms:W3CDTF">2025-10-29T20:33:39Z</dcterms:created>
  <dcterms:modified xsi:type="dcterms:W3CDTF">2025-11-01T21:44:40Z</dcterms:modified>
</cp:coreProperties>
</file>